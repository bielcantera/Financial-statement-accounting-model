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bielcanterapotente/Desktop/Accounting/"/>
    </mc:Choice>
  </mc:AlternateContent>
  <xr:revisionPtr revIDLastSave="0" documentId="8_{43FD19F2-2C70-1A4A-A5C8-A5A55EE60B2B}" xr6:coauthVersionLast="47" xr6:coauthVersionMax="47" xr10:uidLastSave="{00000000-0000-0000-0000-000000000000}"/>
  <bookViews>
    <workbookView xWindow="0" yWindow="500" windowWidth="28800" windowHeight="16140" activeTab="1" xr2:uid="{193704A5-DDFC-A54A-9212-D0E40E0ED902}"/>
  </bookViews>
  <sheets>
    <sheet name="General Ledger" sheetId="1" r:id="rId1"/>
    <sheet name="COGS" sheetId="8" r:id="rId2"/>
    <sheet name="t-accounts month 1" sheetId="4" r:id="rId3"/>
    <sheet name="t-accounts month 2" sheetId="7" r:id="rId4"/>
    <sheet name="ALL" sheetId="5" r:id="rId5"/>
    <sheet name="Balance of Account" sheetId="3" state="hidden" r:id="rId6"/>
  </sheets>
  <definedNames>
    <definedName name="B_Cash" localSheetId="3">'t-accounts month 2'!$B$68</definedName>
    <definedName name="B_Cas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5" l="1"/>
  <c r="M53" i="5"/>
  <c r="G31" i="5"/>
  <c r="G61" i="5" s="1"/>
  <c r="F110" i="5"/>
  <c r="F41" i="5"/>
  <c r="F74" i="5" s="1"/>
  <c r="F39" i="5"/>
  <c r="F72" i="5" s="1"/>
  <c r="AY35" i="4"/>
  <c r="F37" i="5" s="1"/>
  <c r="F70" i="5" s="1"/>
  <c r="F35" i="5"/>
  <c r="F68" i="5" s="1"/>
  <c r="G33" i="5"/>
  <c r="G63" i="5" s="1"/>
  <c r="G29" i="5"/>
  <c r="G59" i="5" s="1"/>
  <c r="BT35" i="4"/>
  <c r="G27" i="5" s="1"/>
  <c r="G57" i="5" s="1"/>
  <c r="BP35" i="4"/>
  <c r="G25" i="5" s="1"/>
  <c r="G55" i="5" s="1"/>
  <c r="AR35" i="4"/>
  <c r="G23" i="5" s="1"/>
  <c r="G53" i="5" s="1"/>
  <c r="AN35" i="4"/>
  <c r="G21" i="5" s="1"/>
  <c r="AJ35" i="4"/>
  <c r="G19" i="5" s="1"/>
  <c r="G49" i="5" s="1"/>
  <c r="G17" i="5"/>
  <c r="G15" i="5"/>
  <c r="F11" i="5"/>
  <c r="F13" i="5"/>
  <c r="F7" i="5"/>
  <c r="CK3" i="7" a="1"/>
  <c r="CK3" i="7" s="1"/>
  <c r="R35" i="4"/>
  <c r="BJ3" i="7" s="1"/>
  <c r="BJ30" i="7" s="1"/>
  <c r="C27" i="7"/>
  <c r="CE30" i="7"/>
  <c r="CA30" i="7"/>
  <c r="AL30" i="7"/>
  <c r="AE30" i="7"/>
  <c r="AA30" i="7"/>
  <c r="W30" i="7"/>
  <c r="O30" i="7"/>
  <c r="S30" i="7"/>
  <c r="L86" i="5"/>
  <c r="M99" i="5"/>
  <c r="M86" i="5"/>
  <c r="I18" i="8"/>
  <c r="I16" i="8"/>
  <c r="AK10" i="8"/>
  <c r="AK14" i="8" s="1"/>
  <c r="AM14" i="8" s="1"/>
  <c r="V10" i="8"/>
  <c r="V14" i="8" s="1"/>
  <c r="W14" i="8" s="1"/>
  <c r="E1" i="4"/>
  <c r="I1" i="4" s="1"/>
  <c r="M1" i="4" s="1"/>
  <c r="Q1" i="4" s="1"/>
  <c r="U1" i="4" s="1"/>
  <c r="B32" i="4"/>
  <c r="C32" i="4"/>
  <c r="DV66" i="7"/>
  <c r="DW66" i="7"/>
  <c r="DZ66" i="7"/>
  <c r="EA66" i="7"/>
  <c r="ED66" i="7"/>
  <c r="EE66" i="7"/>
  <c r="EH66" i="7"/>
  <c r="EI66" i="7"/>
  <c r="EL66" i="7"/>
  <c r="EM66" i="7"/>
  <c r="EP66" i="7"/>
  <c r="EQ66" i="7"/>
  <c r="ET66" i="7"/>
  <c r="EU66" i="7"/>
  <c r="EX66" i="7"/>
  <c r="EY66" i="7"/>
  <c r="FB66" i="7"/>
  <c r="FC66" i="7"/>
  <c r="FF66" i="7"/>
  <c r="FG66" i="7"/>
  <c r="FJ66" i="7"/>
  <c r="FK66" i="7"/>
  <c r="FN66" i="7"/>
  <c r="FO66" i="7"/>
  <c r="FR66" i="7"/>
  <c r="FS66" i="7"/>
  <c r="FV66" i="7"/>
  <c r="FW66" i="7"/>
  <c r="FZ66" i="7"/>
  <c r="GA66" i="7"/>
  <c r="GD66" i="7"/>
  <c r="GE66" i="7"/>
  <c r="GH66" i="7"/>
  <c r="GI66" i="7"/>
  <c r="GL66" i="7"/>
  <c r="GM66" i="7"/>
  <c r="GP66" i="7"/>
  <c r="GQ66" i="7"/>
  <c r="GT66" i="7"/>
  <c r="GU66" i="7"/>
  <c r="DU67" i="7"/>
  <c r="DV67" i="7"/>
  <c r="DY67" i="7"/>
  <c r="EC67" i="7"/>
  <c r="ED67" i="7"/>
  <c r="EG67" i="7"/>
  <c r="EK67" i="7"/>
  <c r="EL67" i="7"/>
  <c r="EO67" i="7"/>
  <c r="ES67" i="7"/>
  <c r="ET67" i="7"/>
  <c r="EW67" i="7"/>
  <c r="FA67" i="7"/>
  <c r="FB67" i="7"/>
  <c r="FE67" i="7"/>
  <c r="FI67" i="7"/>
  <c r="FJ67" i="7"/>
  <c r="FM67" i="7"/>
  <c r="FQ67" i="7"/>
  <c r="FR67" i="7"/>
  <c r="FU67" i="7"/>
  <c r="FY67" i="7"/>
  <c r="FZ67" i="7"/>
  <c r="GC67" i="7"/>
  <c r="GG67" i="7"/>
  <c r="GH67" i="7"/>
  <c r="GK67" i="7"/>
  <c r="GO67" i="7"/>
  <c r="GP67" i="7"/>
  <c r="GS67" i="7"/>
  <c r="E1" i="7"/>
  <c r="I1" i="7" s="1"/>
  <c r="M1" i="7" s="1"/>
  <c r="Q1" i="7" s="1"/>
  <c r="F18" i="3"/>
  <c r="C23" i="3"/>
  <c r="F8" i="3"/>
  <c r="F23" i="3"/>
  <c r="F22" i="3"/>
  <c r="F7" i="3"/>
  <c r="F13" i="3" s="1"/>
  <c r="C19" i="3"/>
  <c r="C13" i="3"/>
  <c r="F21" i="3"/>
  <c r="M88" i="5" l="1"/>
  <c r="AD1" i="4"/>
  <c r="AH1" i="4" s="1"/>
  <c r="AL1" i="4" s="1"/>
  <c r="AP1" i="4" s="1"/>
  <c r="AT1" i="4" s="1"/>
  <c r="AX1" i="4" s="1"/>
  <c r="BB1" i="4" s="1"/>
  <c r="BF1" i="4" s="1"/>
  <c r="BJ1" i="4" s="1"/>
  <c r="BN1" i="4" s="1"/>
  <c r="BR1" i="4" s="1"/>
  <c r="BV1" i="4" s="1"/>
  <c r="BZ1" i="4" s="1"/>
  <c r="CD1" i="4" s="1"/>
  <c r="CH1" i="4" s="1"/>
  <c r="CL1" i="4" s="1"/>
  <c r="CP1" i="4" s="1"/>
  <c r="CT1" i="4" s="1"/>
  <c r="CX1" i="4" s="1"/>
  <c r="Y1" i="4"/>
  <c r="F9" i="5"/>
  <c r="GT67" i="7"/>
  <c r="GD67" i="7"/>
  <c r="FV67" i="7"/>
  <c r="FF67" i="7"/>
  <c r="EX67" i="7"/>
  <c r="EP67" i="7"/>
  <c r="EH67" i="7"/>
  <c r="DZ67" i="7"/>
  <c r="GL67" i="7"/>
  <c r="FN67" i="7"/>
  <c r="CM30" i="7"/>
  <c r="M19" i="5" s="1"/>
  <c r="G51" i="5"/>
  <c r="G65" i="5" s="1"/>
  <c r="G43" i="5"/>
  <c r="F76" i="5"/>
  <c r="AC1" i="7"/>
  <c r="AG1" i="7" s="1"/>
  <c r="AK1" i="7" s="1"/>
  <c r="AO1" i="7" s="1"/>
  <c r="AS1" i="7" s="1"/>
  <c r="AW1" i="7" s="1"/>
  <c r="BA1" i="7" s="1"/>
  <c r="BE1" i="7" s="1"/>
  <c r="BI1" i="7" s="1"/>
  <c r="BM1" i="7" s="1"/>
  <c r="BQ1" i="7" s="1"/>
  <c r="BU1" i="7" s="1"/>
  <c r="BY1" i="7" s="1"/>
  <c r="CC1" i="7" s="1"/>
  <c r="CG1" i="7" s="1"/>
  <c r="CK1" i="7" s="1"/>
  <c r="CO1" i="7" s="1"/>
  <c r="CS1" i="7" s="1"/>
  <c r="CW1" i="7" s="1"/>
  <c r="DA1" i="7" s="1"/>
  <c r="DE1" i="7" s="1"/>
  <c r="DI1" i="7" s="1"/>
  <c r="DM1" i="7" s="1"/>
  <c r="DQ1" i="7" s="1"/>
  <c r="DU1" i="7" s="1"/>
  <c r="DY1" i="7" s="1"/>
  <c r="EC1" i="7" s="1"/>
  <c r="EG1" i="7" s="1"/>
  <c r="EK1" i="7" s="1"/>
  <c r="EO1" i="7" s="1"/>
  <c r="ES1" i="7" s="1"/>
  <c r="EW1" i="7" s="1"/>
  <c r="FA1" i="7" s="1"/>
  <c r="FE1" i="7" s="1"/>
  <c r="FI1" i="7" s="1"/>
  <c r="FM1" i="7" s="1"/>
  <c r="FQ1" i="7" s="1"/>
  <c r="FU1" i="7" s="1"/>
  <c r="FY1" i="7" s="1"/>
  <c r="GC1" i="7" s="1"/>
  <c r="GG1" i="7" s="1"/>
  <c r="GK1" i="7" s="1"/>
  <c r="GO1" i="7" s="1"/>
  <c r="GS1" i="7" s="1"/>
  <c r="U1" i="7"/>
  <c r="Y1" i="7" s="1"/>
  <c r="F25" i="3"/>
  <c r="C25" i="3"/>
  <c r="B27" i="3"/>
  <c r="B35" i="4"/>
  <c r="V18" i="8"/>
  <c r="V16" i="8"/>
  <c r="AK18" i="8"/>
  <c r="G78" i="5" l="1"/>
  <c r="G87" i="5" s="1"/>
  <c r="F5" i="5"/>
  <c r="F43" i="5" s="1"/>
  <c r="B3" i="7"/>
  <c r="B27" i="7" s="1"/>
  <c r="B30" i="7" s="1"/>
  <c r="L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<sst xmlns="http://schemas.openxmlformats.org/spreadsheetml/2006/main" count="1031" uniqueCount="258">
  <si>
    <t>Company Name</t>
  </si>
  <si>
    <t>Reial Club De Padel Roldans</t>
  </si>
  <si>
    <t>General Ledger</t>
  </si>
  <si>
    <t>Assets / Expenses / Dividend</t>
  </si>
  <si>
    <t>Liabilities / OE / Revenues</t>
  </si>
  <si>
    <t>Account Type</t>
  </si>
  <si>
    <t>Account Name</t>
  </si>
  <si>
    <t>Address</t>
  </si>
  <si>
    <t>Debit</t>
  </si>
  <si>
    <t>Credit</t>
  </si>
  <si>
    <t>Assets</t>
  </si>
  <si>
    <t>Cash</t>
  </si>
  <si>
    <t>Report date</t>
  </si>
  <si>
    <t>Increase</t>
  </si>
  <si>
    <t>Decrease</t>
  </si>
  <si>
    <t>Liabilities</t>
  </si>
  <si>
    <t>Owners Equity</t>
  </si>
  <si>
    <t>General Ledger Report</t>
  </si>
  <si>
    <t>Revenue</t>
  </si>
  <si>
    <t xml:space="preserve">List of accounts </t>
  </si>
  <si>
    <t>Code</t>
  </si>
  <si>
    <t>Financial Statement</t>
  </si>
  <si>
    <t>Group</t>
  </si>
  <si>
    <t>Sub-Group</t>
  </si>
  <si>
    <t>Normally</t>
  </si>
  <si>
    <t>Date</t>
  </si>
  <si>
    <t>GL Account Name</t>
  </si>
  <si>
    <t>GL Account #</t>
  </si>
  <si>
    <t>Vendor / Client</t>
  </si>
  <si>
    <t>Expense</t>
  </si>
  <si>
    <t>Bank checking account</t>
  </si>
  <si>
    <t>Balance sheet</t>
  </si>
  <si>
    <t>Current assets</t>
  </si>
  <si>
    <t>Cash and cash equivalents</t>
  </si>
  <si>
    <t>Bank savings account</t>
  </si>
  <si>
    <t>Online savings account</t>
  </si>
  <si>
    <t>Petty cash account</t>
  </si>
  <si>
    <t>Paypal account</t>
  </si>
  <si>
    <t>Accounts receivable</t>
  </si>
  <si>
    <t>Gifts &amp; samples</t>
  </si>
  <si>
    <t>Income Statement</t>
  </si>
  <si>
    <t>Sales and marketing</t>
  </si>
  <si>
    <t>Research and development</t>
  </si>
  <si>
    <t>Sales commissions</t>
  </si>
  <si>
    <t>Sales promotion</t>
  </si>
  <si>
    <t>Advertising</t>
  </si>
  <si>
    <t>DEBIT</t>
  </si>
  <si>
    <t>CREDIT</t>
  </si>
  <si>
    <t>Capital Stock</t>
  </si>
  <si>
    <t>Notes Payable</t>
  </si>
  <si>
    <t>Accounts Receivable</t>
  </si>
  <si>
    <t>Dividends</t>
  </si>
  <si>
    <t xml:space="preserve"> </t>
  </si>
  <si>
    <t xml:space="preserve">Reial Club De Pàdel Roldans </t>
  </si>
  <si>
    <t>Balance Sheet</t>
  </si>
  <si>
    <t>Month:</t>
  </si>
  <si>
    <t>ASSETS</t>
  </si>
  <si>
    <t>LIABILITIES &amp; OWNERS EQUITY</t>
  </si>
  <si>
    <t>CURRENT ASSETS</t>
  </si>
  <si>
    <t>CURRENT LIABILITIES</t>
  </si>
  <si>
    <t>Account Payable</t>
  </si>
  <si>
    <t>Add: Net Income</t>
  </si>
  <si>
    <t>Income Taxes Payable</t>
  </si>
  <si>
    <t>Inventory (Tools &amp; Equipment)</t>
  </si>
  <si>
    <t>Accrued Salaries and Wages</t>
  </si>
  <si>
    <t>Unearned Revenues</t>
  </si>
  <si>
    <t>Current portion of Long-Term Debt</t>
  </si>
  <si>
    <t>TOTAL CURRENT ASSETS</t>
  </si>
  <si>
    <t>TOTAL CURRENT LIABILITIES</t>
  </si>
  <si>
    <t>FIXED (LONG TERM ASSETS)</t>
  </si>
  <si>
    <t>LONG TERM LIABILITIES</t>
  </si>
  <si>
    <t>Rent expense</t>
  </si>
  <si>
    <t>Paddle tennis courts</t>
  </si>
  <si>
    <t>Long-Term Debt</t>
  </si>
  <si>
    <t>Building rent</t>
  </si>
  <si>
    <t>Defferred Income Tax</t>
  </si>
  <si>
    <t>Other</t>
  </si>
  <si>
    <t>TOTAL LONG TERM LIABILITIES</t>
  </si>
  <si>
    <t>TOTAL FIXED (LONG TERM ASSETS)</t>
  </si>
  <si>
    <t>OWNERS EQUITY</t>
  </si>
  <si>
    <t>OTHER ASSETS</t>
  </si>
  <si>
    <t>Defferred income tax</t>
  </si>
  <si>
    <t>Retained Earnings</t>
  </si>
  <si>
    <t>Others</t>
  </si>
  <si>
    <t>TOTAL OTHER ASSETS</t>
  </si>
  <si>
    <t>TOTAL OWNERS EQUITY</t>
  </si>
  <si>
    <t>rent expense</t>
  </si>
  <si>
    <t xml:space="preserve">Asset </t>
  </si>
  <si>
    <t>Machine revenue</t>
  </si>
  <si>
    <t>Creation of the company, received investment from investors</t>
  </si>
  <si>
    <t>We buy all the paddel courts in order for them to be ready on day 2, they ask us in advantace to pay 30% in cash, the rest after the courts are build</t>
  </si>
  <si>
    <t>Salary Expense</t>
  </si>
  <si>
    <t>Prepaid Courts</t>
  </si>
  <si>
    <t>Courts</t>
  </si>
  <si>
    <t>Asset</t>
  </si>
  <si>
    <t>Training revenue</t>
  </si>
  <si>
    <t>We pay the rent of the building at the beggining of the month.</t>
  </si>
  <si>
    <t>Prepaid building rent</t>
  </si>
  <si>
    <t>expense</t>
  </si>
  <si>
    <t>assets</t>
  </si>
  <si>
    <t>Membership revenue</t>
  </si>
  <si>
    <t>Court Member Revenue</t>
  </si>
  <si>
    <t>Court Revenue</t>
  </si>
  <si>
    <t>Revenue from an entrire week of court renting service. We have a mean of 120 persons / day, and depending on their membeship levels, the rent is higher or lower.</t>
  </si>
  <si>
    <t>Public service expense</t>
  </si>
  <si>
    <t>The courts are now build, we pay what we owe with cash.</t>
  </si>
  <si>
    <t>Padel equipment for coaches</t>
  </si>
  <si>
    <t>We buy padel equipment for coaches.</t>
  </si>
  <si>
    <t>Equipment loaned</t>
  </si>
  <si>
    <t>This is part of the rent we paid for the building , following the matching principle</t>
  </si>
  <si>
    <t>We loan a space to an external company in order for them to put a vending machine.</t>
  </si>
  <si>
    <t>prepaid rent</t>
  </si>
  <si>
    <t>Towels for members expense</t>
  </si>
  <si>
    <t>Towels for members</t>
  </si>
  <si>
    <t>(end month 1)</t>
  </si>
  <si>
    <t>MONTH 2</t>
  </si>
  <si>
    <t>Revenue from loaned equipment, rackets and balls. Racket: €3/game, Balls: €5/Game.</t>
  </si>
  <si>
    <t>Salary Paid to our Padel Club 3 receptionists (1700€ each)</t>
  </si>
  <si>
    <t>Salary Paid to cleaning service (1300€ each) 2 workers</t>
  </si>
  <si>
    <t>Salary Paid to our Padel Club 3 coaches (2000€ each)</t>
  </si>
  <si>
    <t>Revenue that we got from the padel training (after talking with real Padel club they told that they do 360h each month of training) the trainers will pay 45€/h</t>
  </si>
  <si>
    <t>We will create a Membership and we expect to have 80 member (150€ each) and the price of each memer to play will be 7,5€ instead of 10€</t>
  </si>
  <si>
    <t>Public Service (Expense of electricity, water and gas) this servies is due every 2 month so this month €0</t>
  </si>
  <si>
    <t>Public Service (Expense of electricity, water and gas) for 15000m2 of building</t>
  </si>
  <si>
    <t>We will create a Membership and we expect to have 100 member (150€ each) and the price of each memer to play will be 7,5€ instead of 10€</t>
  </si>
  <si>
    <t>Supplies</t>
  </si>
  <si>
    <t>Revenue from an entire week of court renting service. We have a mean of 120 persons / day, and depending on their membeship levels, the rent is higher or lower.</t>
  </si>
  <si>
    <t>TOTAL</t>
  </si>
  <si>
    <t>Icome statement</t>
  </si>
  <si>
    <t>Expenses</t>
  </si>
  <si>
    <t>31/02/2022</t>
  </si>
  <si>
    <t>Net Income</t>
  </si>
  <si>
    <t>Revenue from an entrire week of court renting service. We have an average of 120 persons / day, and depending on their membeship levels, the rent is higher or lower.</t>
  </si>
  <si>
    <t xml:space="preserve">Padel Equipment </t>
  </si>
  <si>
    <t>€35 each racket</t>
  </si>
  <si>
    <t>€5 each pack</t>
  </si>
  <si>
    <t>Rackets rervenue</t>
  </si>
  <si>
    <t xml:space="preserve">Balls revenue </t>
  </si>
  <si>
    <t>Rackets sold</t>
  </si>
  <si>
    <t>Balls sold</t>
  </si>
  <si>
    <t xml:space="preserve">SUMMARY </t>
  </si>
  <si>
    <t>20 TOWELS LEFT</t>
  </si>
  <si>
    <t>30 PACKS OF BALL LEFT &amp; 8 RAKS LEFT</t>
  </si>
  <si>
    <t>Revenue from sold equipment, rackets and balls. 2 Rackets: €50 each, 5 packs of Balls: €10each.</t>
  </si>
  <si>
    <t>0 TOWELS LEFT</t>
  </si>
  <si>
    <t>Contrasset</t>
  </si>
  <si>
    <t>Inventory</t>
  </si>
  <si>
    <t>Rervenue</t>
  </si>
  <si>
    <t xml:space="preserve">Revenue </t>
  </si>
  <si>
    <t>COGS Racket</t>
  </si>
  <si>
    <t xml:space="preserve">Sales from rackets </t>
  </si>
  <si>
    <t>COGS Balls</t>
  </si>
  <si>
    <t>Sales from balls</t>
  </si>
  <si>
    <t>COGS Towels</t>
  </si>
  <si>
    <t>Sales from rackets</t>
  </si>
  <si>
    <t xml:space="preserve">Sales from balls </t>
  </si>
  <si>
    <t xml:space="preserve">Padel equipment </t>
  </si>
  <si>
    <t>Court member revenue</t>
  </si>
  <si>
    <t>Court revenue</t>
  </si>
  <si>
    <t>Vending machine revenue</t>
  </si>
  <si>
    <t xml:space="preserve">Capital stock </t>
  </si>
  <si>
    <t>Equipment loaned revenue</t>
  </si>
  <si>
    <t>Rackets sold revenue</t>
  </si>
  <si>
    <t>Balls sold revenue</t>
  </si>
  <si>
    <t xml:space="preserve">Public service expense </t>
  </si>
  <si>
    <t>Salary expense</t>
  </si>
  <si>
    <t>Adjusted trial balance month2</t>
  </si>
  <si>
    <t>SUM</t>
  </si>
  <si>
    <t>Court  revenue</t>
  </si>
  <si>
    <t xml:space="preserve">TOTAL </t>
  </si>
  <si>
    <t>COGS racket</t>
  </si>
  <si>
    <t>COGS balls</t>
  </si>
  <si>
    <t>COGS towels</t>
  </si>
  <si>
    <t>Padel equipment inventory</t>
  </si>
  <si>
    <t>Padel Equipment</t>
  </si>
  <si>
    <t>We buy padel material to loan as a service to customers. (10 packs of balls to loan and 10 rackets to loan)</t>
  </si>
  <si>
    <t>We buy all padel material to sell in our store to customers. (50 packs of balls and 20 rackets)</t>
  </si>
  <si>
    <t xml:space="preserve">Padel Equipment Inventory </t>
  </si>
  <si>
    <t>Units</t>
  </si>
  <si>
    <t>€ / Unit</t>
  </si>
  <si>
    <t>Total</t>
  </si>
  <si>
    <t>Beginning inventory</t>
  </si>
  <si>
    <t>Purchases</t>
  </si>
  <si>
    <t>Goods Available for sale</t>
  </si>
  <si>
    <t>Ending inventory</t>
  </si>
  <si>
    <t>Cost of goods sold</t>
  </si>
  <si>
    <t>Avg. Cost -&gt; 565/120 = 4,71€</t>
  </si>
  <si>
    <t>We buy padel material (70 packs of balls at $4,5 each and 30 rackets at $32 each)</t>
  </si>
  <si>
    <t>Revenue from sold equipment, rackets and balls. 10 Rackets: €45 each, 20 packs of Balls: €10each.</t>
  </si>
  <si>
    <t>Avg. Cost -&gt; 1400/40 = 33,2€</t>
  </si>
  <si>
    <t>Ending inventory -&gt; 10 x 33,2 = 332€</t>
  </si>
  <si>
    <t>Cost of goods sold -&gt; 33,2 x 40 = 1328€</t>
  </si>
  <si>
    <t>First-in First-out method (Padel Balls)</t>
  </si>
  <si>
    <t>Beg. Inv</t>
  </si>
  <si>
    <t>End Inv.</t>
  </si>
  <si>
    <t>CoGS</t>
  </si>
  <si>
    <t>50 at 5€</t>
  </si>
  <si>
    <t>70 at 4,5€</t>
  </si>
  <si>
    <t>Costs</t>
  </si>
  <si>
    <t>Cost of goods available for sale</t>
  </si>
  <si>
    <t>First-in First-out method (Padel Rackets)</t>
  </si>
  <si>
    <t>20 at 35€</t>
  </si>
  <si>
    <t>30 at 32€</t>
  </si>
  <si>
    <t>Last-in First-out method (Padel Balls)</t>
  </si>
  <si>
    <t>Average cost method (towels)</t>
  </si>
  <si>
    <t>Purchaese of Towels for members at €3 each. We buy 100 towels, we calculate that the first month we will sell 80</t>
  </si>
  <si>
    <t>Avg. Cost -&gt; 300/100 = 3€</t>
  </si>
  <si>
    <t>First-in First-out method (Towels)</t>
  </si>
  <si>
    <t>100 at 3€</t>
  </si>
  <si>
    <t>Cost of goods sold -&gt; 100 x 3 = 300</t>
  </si>
  <si>
    <t>Ending inventory -&gt; 0 x 3 = 0€</t>
  </si>
  <si>
    <t>0 at 3€</t>
  </si>
  <si>
    <t>Last-in First-out method (Towels)</t>
  </si>
  <si>
    <t>Average cost method (Padel Balls packs)</t>
  </si>
  <si>
    <t>Revenue from sold equipment, rackets and balls. 2 Rackets: €50 each, 1 packs of Balls: €10each.</t>
  </si>
  <si>
    <t>Ending inventory -&gt; 10 x 4,71 = 47,10€</t>
  </si>
  <si>
    <t>Cost of goods sold -&gt; 110 x 4,71 = 518€</t>
  </si>
  <si>
    <t>40 at 5€</t>
  </si>
  <si>
    <t>10 at 5€</t>
  </si>
  <si>
    <t>10 at 4,5€</t>
  </si>
  <si>
    <t>60 at 4,5€</t>
  </si>
  <si>
    <t>Revenue from sold equipment, rackets and balls. 1 Rackets: €50 each, 3 packs of Balls: €10each.</t>
  </si>
  <si>
    <t>3 at 35€</t>
  </si>
  <si>
    <t>17 at 35€</t>
  </si>
  <si>
    <t>3 at 32€</t>
  </si>
  <si>
    <t>27 at 32€</t>
  </si>
  <si>
    <t>Calculating COGS Periodic</t>
  </si>
  <si>
    <t>10 PACKS OF BALL LEFT &amp; 0 RACKS LEFT</t>
  </si>
  <si>
    <t>GrossP(max)</t>
  </si>
  <si>
    <t>Statement of Retained Earnings</t>
  </si>
  <si>
    <t>For the month ended 31/1/2022</t>
  </si>
  <si>
    <t>depreciation expense</t>
  </si>
  <si>
    <t>accumulated depreciation</t>
  </si>
  <si>
    <t>contra asset</t>
  </si>
  <si>
    <t>Dep Expense (Padel Court)</t>
  </si>
  <si>
    <t>courts depreciation, expected life 20 years, 20.000€ / 20 /12 *6 courts</t>
  </si>
  <si>
    <t xml:space="preserve">Balance Sheet </t>
  </si>
  <si>
    <t>Accumulated depreciation</t>
  </si>
  <si>
    <t>Depreciation expense</t>
  </si>
  <si>
    <t>Less accumulated depreciation</t>
  </si>
  <si>
    <t>Total Assets</t>
  </si>
  <si>
    <t>Total Liabilities</t>
  </si>
  <si>
    <t>Stockholders' Equity</t>
  </si>
  <si>
    <t>Total Stockholders' Equity</t>
  </si>
  <si>
    <t>Total Liabilities &amp; Stockholders' Equity</t>
  </si>
  <si>
    <t>Adjusted trial balance month1</t>
  </si>
  <si>
    <t>Capital stock</t>
  </si>
  <si>
    <t>eliminar</t>
  </si>
  <si>
    <t>Accumulated depreciation  (Padel Court)</t>
  </si>
  <si>
    <t>Accumulated depreciation (Padel Court)</t>
  </si>
  <si>
    <t>Average cost method (Padel rackets)</t>
  </si>
  <si>
    <t>ficar inventory enlloc de towels for members</t>
  </si>
  <si>
    <t>Purchase of Towels for members at €3 each. We bought 100 towels.</t>
  </si>
  <si>
    <t>Court revenue from memberships</t>
  </si>
  <si>
    <t>Court revenue from members</t>
  </si>
  <si>
    <t>hem d'afegir towels expense?</t>
  </si>
  <si>
    <t>For the month ended 28/2/2022</t>
  </si>
  <si>
    <t>Retained earnings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</si>
</sst>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8" formatCode="#,##0.00\ &quot;€&quot;;[Red]\-#,##0.00\ &quot;€&quot;"/>
    <numFmt numFmtId="164" formatCode="m/d/yy;@"/>
    <numFmt numFmtId="165" formatCode="#,##0.00\ &quot;€&quot;"/>
  </numFmts>
  <fonts count="26">
    <font>
      <sz val="12"/>
      <color theme="1"/>
      <name val="Avenir"/>
      <family val="2"/>
    </font>
    <font>
      <sz val="12"/>
      <color rgb="FFFF0000"/>
      <name val="Avenir"/>
      <family val="2"/>
    </font>
    <font>
      <sz val="12"/>
      <color theme="0"/>
      <name val="Avenir"/>
      <family val="2"/>
    </font>
    <font>
      <sz val="14"/>
      <color theme="1"/>
      <name val="Avenir"/>
      <family val="2"/>
    </font>
    <font>
      <sz val="16"/>
      <color theme="1"/>
      <name val="Avenir"/>
      <family val="2"/>
    </font>
    <font>
      <b/>
      <sz val="16"/>
      <color theme="0"/>
      <name val="Avenir"/>
      <family val="2"/>
    </font>
    <font>
      <sz val="18"/>
      <color theme="0"/>
      <name val="Avenir"/>
      <family val="2"/>
    </font>
    <font>
      <b/>
      <sz val="12"/>
      <color rgb="FF0070C0"/>
      <name val="Avenir"/>
      <family val="2"/>
    </font>
    <font>
      <b/>
      <sz val="12"/>
      <color rgb="FF00B050"/>
      <name val="Avenir"/>
      <family val="2"/>
    </font>
    <font>
      <b/>
      <sz val="12"/>
      <color rgb="FFFF0000"/>
      <name val="Avenir"/>
      <family val="2"/>
    </font>
    <font>
      <sz val="14"/>
      <color theme="0"/>
      <name val="Avenir"/>
      <family val="2"/>
    </font>
    <font>
      <b/>
      <sz val="20"/>
      <color theme="0"/>
      <name val="Avenir"/>
      <family val="2"/>
    </font>
    <font>
      <b/>
      <sz val="18"/>
      <color theme="0"/>
      <name val="Avenir"/>
      <family val="2"/>
    </font>
    <font>
      <b/>
      <sz val="12"/>
      <color theme="0"/>
      <name val="Avenir"/>
      <family val="2"/>
    </font>
    <font>
      <sz val="8"/>
      <color theme="0"/>
      <name val="Avenir"/>
      <family val="2"/>
    </font>
    <font>
      <sz val="16"/>
      <color theme="0"/>
      <name val="Avenir"/>
      <family val="2"/>
    </font>
    <font>
      <sz val="12"/>
      <color rgb="FF006100"/>
      <name val="Calibri"/>
      <family val="2"/>
      <scheme val="minor"/>
    </font>
    <font>
      <sz val="12"/>
      <color theme="0"/>
      <name val="Calibri"/>
      <family val="2"/>
      <scheme val="minor"/>
    </font>
    <font>
      <sz val="12"/>
      <color rgb="FF000000"/>
      <name val="Avenir"/>
      <family val="2"/>
    </font>
    <font>
      <b/>
      <sz val="12"/>
      <color theme="1"/>
      <name val="Avenir"/>
      <family val="2"/>
    </font>
    <font>
      <b/>
      <sz val="12"/>
      <color theme="1"/>
      <name val="Avenir"/>
      <family val="2"/>
    </font>
    <font>
      <sz val="8"/>
      <name val="Avenir"/>
      <family val="2"/>
    </font>
    <font>
      <b/>
      <sz val="12"/>
      <color rgb="FF000000"/>
      <name val="Avenir"/>
      <family val="2"/>
    </font>
    <font>
      <b/>
      <sz val="12"/>
      <color theme="1"/>
      <name val="Avenir"/>
      <family val="2"/>
    </font>
    <font>
      <b/>
      <sz val="16"/>
      <color theme="1"/>
      <name val="Avenir"/>
      <family val="2"/>
    </font>
    <font>
      <sz val="12"/>
      <color theme="1"/>
      <name val="Calibri"/>
      <family val="2"/>
      <scheme val="minor"/>
    </font>
  </fonts>
  <fills count="9">
    <fill>
      <patternFill patternType="none"/>
    </fill>
    <fill>
      <patternFill patternType="gray125"/>
    </fill>
    <fill>
      <patternFill patternType="solid">
        <fgColor theme="3"/>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rgb="FFC6EFCE"/>
      </patternFill>
    </fill>
    <fill>
      <patternFill patternType="solid">
        <fgColor theme="8" tint="0.79998168889431442"/>
        <bgColor indexed="64"/>
      </patternFill>
    </fill>
    <fill>
      <patternFill patternType="solid">
        <fgColor rgb="FFDDEBF7"/>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style="thick">
        <color rgb="FFC00000"/>
      </right>
      <top style="thick">
        <color rgb="FFC00000"/>
      </top>
      <bottom style="thin">
        <color indexed="64"/>
      </bottom>
      <diagonal/>
    </border>
    <border>
      <left style="thick">
        <color rgb="FFC00000"/>
      </left>
      <right style="thin">
        <color indexed="64"/>
      </right>
      <top style="thick">
        <color rgb="FFC00000"/>
      </top>
      <bottom style="thin">
        <color indexed="64"/>
      </bottom>
      <diagonal/>
    </border>
    <border>
      <left style="thin">
        <color indexed="64"/>
      </left>
      <right style="thick">
        <color rgb="FFC00000"/>
      </right>
      <top style="thin">
        <color indexed="64"/>
      </top>
      <bottom style="thin">
        <color indexed="64"/>
      </bottom>
      <diagonal/>
    </border>
    <border>
      <left style="thick">
        <color rgb="FFC00000"/>
      </left>
      <right style="thin">
        <color indexed="64"/>
      </right>
      <top style="thin">
        <color indexed="64"/>
      </top>
      <bottom style="thin">
        <color indexed="64"/>
      </bottom>
      <diagonal/>
    </border>
    <border>
      <left/>
      <right style="double">
        <color auto="1"/>
      </right>
      <top style="thick">
        <color auto="1"/>
      </top>
      <bottom/>
      <diagonal/>
    </border>
    <border>
      <left style="double">
        <color auto="1"/>
      </left>
      <right/>
      <top style="thick">
        <color auto="1"/>
      </top>
      <bottom/>
      <diagonal/>
    </border>
    <border>
      <left/>
      <right style="double">
        <color auto="1"/>
      </right>
      <top/>
      <bottom/>
      <diagonal/>
    </border>
    <border>
      <left style="double">
        <color auto="1"/>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right/>
      <top/>
      <bottom style="thin">
        <color theme="0"/>
      </bottom>
      <diagonal/>
    </border>
    <border>
      <left/>
      <right/>
      <top/>
      <bottom style="thin">
        <color theme="3"/>
      </bottom>
      <diagonal/>
    </border>
    <border>
      <left style="thin">
        <color theme="0"/>
      </left>
      <right/>
      <top/>
      <bottom/>
      <diagonal/>
    </border>
    <border>
      <left style="thin">
        <color theme="0"/>
      </left>
      <right/>
      <top/>
      <bottom style="thin">
        <color theme="0"/>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style="thin">
        <color theme="1" tint="0.34998626667073579"/>
      </top>
      <bottom style="thin">
        <color theme="1" tint="0.34998626667073579"/>
      </bottom>
      <diagonal/>
    </border>
    <border>
      <left/>
      <right style="thin">
        <color indexed="64"/>
      </right>
      <top/>
      <bottom/>
      <diagonal/>
    </border>
    <border>
      <left/>
      <right style="thin">
        <color theme="0"/>
      </right>
      <top style="thin">
        <color theme="0"/>
      </top>
      <bottom/>
      <diagonal/>
    </border>
    <border>
      <left/>
      <right/>
      <top style="thin">
        <color indexed="64"/>
      </top>
      <bottom/>
      <diagonal/>
    </border>
    <border>
      <left/>
      <right style="thin">
        <color indexed="64"/>
      </right>
      <top style="thin">
        <color indexed="64"/>
      </top>
      <bottom style="thin">
        <color indexed="64"/>
      </bottom>
      <diagonal/>
    </border>
    <border>
      <left/>
      <right style="thick">
        <color rgb="FFC00000"/>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ck">
        <color rgb="FFC00000"/>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C00000"/>
      </left>
      <right style="thin">
        <color theme="1"/>
      </right>
      <top style="thin">
        <color indexed="64"/>
      </top>
      <bottom style="thin">
        <color indexed="64"/>
      </bottom>
      <diagonal/>
    </border>
    <border>
      <left style="thin">
        <color indexed="64"/>
      </left>
      <right style="thin">
        <color theme="1"/>
      </right>
      <top style="thick">
        <color rgb="FFC00000"/>
      </top>
      <bottom style="thin">
        <color indexed="64"/>
      </bottom>
      <diagonal/>
    </border>
    <border>
      <left style="thick">
        <color rgb="FFC00000"/>
      </left>
      <right style="thin">
        <color theme="1"/>
      </right>
      <top style="thin">
        <color indexed="64"/>
      </top>
      <bottom style="thin">
        <color theme="1"/>
      </bottom>
      <diagonal/>
    </border>
    <border>
      <left style="thick">
        <color rgb="FFC00000"/>
      </left>
      <right style="thin">
        <color theme="1"/>
      </right>
      <top/>
      <bottom style="thin">
        <color indexed="64"/>
      </bottom>
      <diagonal/>
    </border>
    <border>
      <left style="thick">
        <color rgb="FFC00000"/>
      </left>
      <right style="thin">
        <color indexed="64"/>
      </right>
      <top style="thin">
        <color indexed="64"/>
      </top>
      <bottom/>
      <diagonal/>
    </border>
    <border>
      <left style="thick">
        <color rgb="FFC00000"/>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ck">
        <color rgb="FFC00000"/>
      </top>
      <bottom style="thin">
        <color theme="1"/>
      </bottom>
      <diagonal/>
    </border>
    <border>
      <left style="thin">
        <color theme="1"/>
      </left>
      <right style="thick">
        <color rgb="FFC00000"/>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style="thin">
        <color indexed="64"/>
      </right>
      <top/>
      <bottom/>
      <diagonal/>
    </border>
    <border>
      <left style="thin">
        <color indexed="64"/>
      </left>
      <right style="thick">
        <color rgb="FFC00000"/>
      </right>
      <top style="thick">
        <color rgb="FFC00000"/>
      </top>
      <bottom style="thin">
        <color theme="1"/>
      </bottom>
      <diagonal/>
    </border>
    <border>
      <left style="thin">
        <color indexed="64"/>
      </left>
      <right style="thin">
        <color theme="1"/>
      </right>
      <top style="thick">
        <color rgb="FFC00000"/>
      </top>
      <bottom style="thin">
        <color theme="1"/>
      </bottom>
      <diagonal/>
    </border>
    <border>
      <left style="thin">
        <color indexed="64"/>
      </left>
      <right/>
      <top style="thin">
        <color indexed="64"/>
      </top>
      <bottom/>
      <diagonal/>
    </border>
    <border>
      <left/>
      <right style="thick">
        <color rgb="FFC00000"/>
      </right>
      <top/>
      <bottom style="thin">
        <color indexed="64"/>
      </bottom>
      <diagonal/>
    </border>
    <border>
      <left style="thick">
        <color rgb="FFC00000"/>
      </left>
      <right/>
      <top style="thin">
        <color indexed="64"/>
      </top>
      <bottom style="thin">
        <color indexed="64"/>
      </bottom>
      <diagonal/>
    </border>
    <border>
      <left/>
      <right style="thin">
        <color theme="1"/>
      </right>
      <top style="thin">
        <color theme="1"/>
      </top>
      <bottom style="thin">
        <color theme="1"/>
      </bottom>
      <diagonal/>
    </border>
    <border>
      <left style="thin">
        <color indexed="64"/>
      </left>
      <right/>
      <top style="thick">
        <color rgb="FFC00000"/>
      </top>
      <bottom style="thin">
        <color theme="1"/>
      </bottom>
      <diagonal/>
    </border>
    <border>
      <left style="thin">
        <color indexed="64"/>
      </left>
      <right style="thin">
        <color indexed="64"/>
      </right>
      <top style="thin">
        <color theme="1"/>
      </top>
      <bottom style="thin">
        <color indexed="64"/>
      </bottom>
      <diagonal/>
    </border>
    <border>
      <left style="thin">
        <color indexed="64"/>
      </left>
      <right style="thin">
        <color theme="1"/>
      </right>
      <top/>
      <bottom/>
      <diagonal/>
    </border>
    <border>
      <left style="thin">
        <color indexed="64"/>
      </left>
      <right/>
      <top/>
      <bottom/>
      <diagonal/>
    </border>
    <border>
      <left/>
      <right style="thin">
        <color theme="1"/>
      </right>
      <top style="thick">
        <color rgb="FFC00000"/>
      </top>
      <bottom style="thin">
        <color indexed="64"/>
      </bottom>
      <diagonal/>
    </border>
  </borders>
  <cellStyleXfs count="2">
    <xf numFmtId="0" fontId="0" fillId="0" borderId="0"/>
    <xf numFmtId="0" fontId="16" fillId="6" borderId="0" applyNumberFormat="0" applyBorder="0" applyAlignment="0" applyProtection="0"/>
  </cellStyleXfs>
  <cellXfs count="180">
    <xf numFmtId="0" fontId="0" fillId="0" borderId="0" xfId="0"/>
    <xf numFmtId="0" fontId="0" fillId="0" borderId="0" xfId="0" applyAlignment="1">
      <alignment horizontal="center"/>
    </xf>
    <xf numFmtId="0" fontId="3" fillId="0" borderId="0" xfId="0" applyFont="1"/>
    <xf numFmtId="0" fontId="4" fillId="0" borderId="0" xfId="0" applyFont="1"/>
    <xf numFmtId="0" fontId="6" fillId="2" borderId="0" xfId="0" applyFont="1" applyFill="1"/>
    <xf numFmtId="0" fontId="2" fillId="2" borderId="0" xfId="0" applyFont="1" applyFill="1"/>
    <xf numFmtId="0" fontId="0" fillId="0" borderId="1" xfId="0" applyBorder="1" applyAlignment="1">
      <alignment horizontal="center"/>
    </xf>
    <xf numFmtId="0" fontId="0" fillId="0" borderId="1" xfId="0" applyBorder="1"/>
    <xf numFmtId="0" fontId="0" fillId="0" borderId="4" xfId="0" applyBorder="1" applyAlignment="1">
      <alignment horizontal="center"/>
    </xf>
    <xf numFmtId="164" fontId="0" fillId="0" borderId="1" xfId="0" applyNumberFormat="1" applyBorder="1"/>
    <xf numFmtId="4" fontId="0" fillId="0" borderId="7" xfId="0" applyNumberFormat="1" applyBorder="1"/>
    <xf numFmtId="4" fontId="0" fillId="0" borderId="8" xfId="0" applyNumberFormat="1" applyBorder="1"/>
    <xf numFmtId="4" fontId="0" fillId="0" borderId="0" xfId="0" applyNumberFormat="1"/>
    <xf numFmtId="4" fontId="7" fillId="0" borderId="0" xfId="0" applyNumberFormat="1" applyFont="1"/>
    <xf numFmtId="4" fontId="1" fillId="0" borderId="0" xfId="0" applyNumberFormat="1" applyFont="1" applyAlignment="1">
      <alignment horizontal="right"/>
    </xf>
    <xf numFmtId="14" fontId="4" fillId="0" borderId="0" xfId="0" applyNumberFormat="1" applyFont="1"/>
    <xf numFmtId="0" fontId="0" fillId="0" borderId="9" xfId="0" applyBorder="1" applyAlignment="1">
      <alignment horizontal="center"/>
    </xf>
    <xf numFmtId="0" fontId="0" fillId="0" borderId="10" xfId="0" applyBorder="1" applyAlignment="1">
      <alignment horizontal="center"/>
    </xf>
    <xf numFmtId="0" fontId="0" fillId="0" borderId="11" xfId="0" applyBorder="1"/>
    <xf numFmtId="0" fontId="0" fillId="0" borderId="12" xfId="0" applyBorder="1"/>
    <xf numFmtId="0" fontId="8" fillId="0" borderId="11" xfId="0" applyFont="1" applyBorder="1" applyAlignment="1">
      <alignment horizontal="center"/>
    </xf>
    <xf numFmtId="0" fontId="8" fillId="0" borderId="12" xfId="0" applyFont="1" applyBorder="1" applyAlignment="1">
      <alignment horizontal="center"/>
    </xf>
    <xf numFmtId="0" fontId="9" fillId="0" borderId="12" xfId="0" applyFont="1" applyBorder="1" applyAlignment="1">
      <alignment horizontal="center"/>
    </xf>
    <xf numFmtId="0" fontId="9" fillId="0" borderId="11" xfId="0" applyFont="1" applyBorder="1" applyAlignment="1">
      <alignment horizontal="center"/>
    </xf>
    <xf numFmtId="0" fontId="10" fillId="2" borderId="2" xfId="0" applyFont="1" applyFill="1" applyBorder="1"/>
    <xf numFmtId="0" fontId="12" fillId="2" borderId="0" xfId="0" applyFont="1" applyFill="1" applyAlignment="1">
      <alignment horizontal="left"/>
    </xf>
    <xf numFmtId="0" fontId="0" fillId="0" borderId="2" xfId="0" applyBorder="1"/>
    <xf numFmtId="0" fontId="0" fillId="0" borderId="13" xfId="0" applyBorder="1"/>
    <xf numFmtId="0" fontId="0" fillId="0" borderId="15" xfId="0" applyBorder="1"/>
    <xf numFmtId="0" fontId="0" fillId="0" borderId="16" xfId="0" applyBorder="1"/>
    <xf numFmtId="0" fontId="0" fillId="0" borderId="14" xfId="0" applyBorder="1"/>
    <xf numFmtId="0" fontId="0" fillId="0" borderId="17" xfId="0" applyBorder="1"/>
    <xf numFmtId="0" fontId="0" fillId="0" borderId="18" xfId="0" applyBorder="1"/>
    <xf numFmtId="0" fontId="0" fillId="0" borderId="19" xfId="0" applyBorder="1"/>
    <xf numFmtId="0" fontId="13" fillId="2" borderId="0" xfId="0" applyFont="1" applyFill="1"/>
    <xf numFmtId="0" fontId="0" fillId="2" borderId="0" xfId="0" applyFill="1"/>
    <xf numFmtId="0" fontId="0" fillId="4" borderId="0" xfId="0" applyFill="1" applyAlignment="1">
      <alignment horizontal="right"/>
    </xf>
    <xf numFmtId="0" fontId="0" fillId="4" borderId="0" xfId="0" applyFill="1"/>
    <xf numFmtId="0" fontId="5" fillId="2" borderId="20" xfId="0" applyFont="1" applyFill="1" applyBorder="1" applyAlignment="1">
      <alignment horizontal="right" vertical="center"/>
    </xf>
    <xf numFmtId="14" fontId="12" fillId="2" borderId="20" xfId="0" applyNumberFormat="1" applyFont="1" applyFill="1" applyBorder="1" applyAlignment="1">
      <alignment horizontal="center" vertical="center"/>
    </xf>
    <xf numFmtId="0" fontId="12" fillId="2" borderId="20" xfId="0" applyFont="1" applyFill="1" applyBorder="1" applyAlignment="1">
      <alignment horizontal="center" vertical="center"/>
    </xf>
    <xf numFmtId="0" fontId="0" fillId="0" borderId="21" xfId="0" applyBorder="1"/>
    <xf numFmtId="0" fontId="0" fillId="0" borderId="22" xfId="0" applyBorder="1"/>
    <xf numFmtId="0" fontId="0" fillId="5" borderId="25" xfId="0" applyFill="1" applyBorder="1"/>
    <xf numFmtId="3" fontId="0" fillId="0" borderId="16" xfId="0" applyNumberFormat="1" applyBorder="1"/>
    <xf numFmtId="3" fontId="0" fillId="0" borderId="2" xfId="0" applyNumberFormat="1" applyBorder="1"/>
    <xf numFmtId="3" fontId="0" fillId="0" borderId="18" xfId="0" applyNumberFormat="1" applyBorder="1"/>
    <xf numFmtId="3" fontId="0" fillId="4" borderId="0" xfId="0" applyNumberFormat="1" applyFill="1"/>
    <xf numFmtId="3" fontId="0" fillId="0" borderId="22" xfId="0" applyNumberFormat="1" applyBorder="1"/>
    <xf numFmtId="3" fontId="0" fillId="0" borderId="13" xfId="0" applyNumberFormat="1" applyBorder="1"/>
    <xf numFmtId="3" fontId="0" fillId="0" borderId="23" xfId="0" applyNumberFormat="1" applyBorder="1"/>
    <xf numFmtId="9" fontId="14" fillId="5" borderId="25" xfId="0" applyNumberFormat="1" applyFont="1" applyFill="1" applyBorder="1"/>
    <xf numFmtId="16" fontId="0" fillId="0" borderId="0" xfId="0" applyNumberFormat="1"/>
    <xf numFmtId="3" fontId="0" fillId="0" borderId="17" xfId="0" applyNumberFormat="1" applyBorder="1"/>
    <xf numFmtId="0" fontId="2" fillId="3" borderId="3" xfId="0" applyFont="1" applyFill="1" applyBorder="1" applyAlignment="1">
      <alignment horizontal="left"/>
    </xf>
    <xf numFmtId="165" fontId="0" fillId="0" borderId="0" xfId="0" applyNumberFormat="1"/>
    <xf numFmtId="165" fontId="10" fillId="2" borderId="2" xfId="0" applyNumberFormat="1" applyFont="1" applyFill="1" applyBorder="1" applyAlignment="1">
      <alignment horizontal="right"/>
    </xf>
    <xf numFmtId="0" fontId="5" fillId="2" borderId="23" xfId="0" applyFont="1" applyFill="1" applyBorder="1" applyAlignment="1">
      <alignment horizontal="left" vertical="center"/>
    </xf>
    <xf numFmtId="0" fontId="5" fillId="2" borderId="3" xfId="0" applyFont="1" applyFill="1" applyBorder="1" applyAlignment="1">
      <alignment horizontal="left" vertical="center"/>
    </xf>
    <xf numFmtId="0" fontId="5" fillId="2" borderId="27" xfId="0" applyFont="1" applyFill="1" applyBorder="1" applyAlignment="1">
      <alignment horizontal="left" vertical="center"/>
    </xf>
    <xf numFmtId="0" fontId="5" fillId="2" borderId="22" xfId="0" applyFont="1" applyFill="1" applyBorder="1" applyAlignment="1">
      <alignment horizontal="left" vertical="center"/>
    </xf>
    <xf numFmtId="0" fontId="5" fillId="2" borderId="19" xfId="0" applyFont="1" applyFill="1" applyBorder="1" applyAlignment="1">
      <alignment horizontal="left" vertical="center"/>
    </xf>
    <xf numFmtId="0" fontId="5" fillId="2" borderId="24" xfId="0" applyFont="1" applyFill="1" applyBorder="1" applyAlignment="1">
      <alignment horizontal="left" vertical="center"/>
    </xf>
    <xf numFmtId="0" fontId="16" fillId="3" borderId="3" xfId="1" applyFill="1" applyBorder="1" applyAlignment="1">
      <alignment horizontal="left"/>
    </xf>
    <xf numFmtId="0" fontId="17" fillId="3" borderId="3" xfId="1" applyFont="1" applyFill="1" applyBorder="1" applyAlignment="1">
      <alignment horizontal="left"/>
    </xf>
    <xf numFmtId="164" fontId="18" fillId="0" borderId="1" xfId="0" applyNumberFormat="1" applyFont="1" applyBorder="1"/>
    <xf numFmtId="0" fontId="19" fillId="0" borderId="0" xfId="0" applyFont="1"/>
    <xf numFmtId="165" fontId="19" fillId="0" borderId="0" xfId="0" applyNumberFormat="1" applyFont="1"/>
    <xf numFmtId="6" fontId="0" fillId="0" borderId="0" xfId="0" applyNumberFormat="1"/>
    <xf numFmtId="0" fontId="20" fillId="0" borderId="0" xfId="0" applyFont="1"/>
    <xf numFmtId="14" fontId="20" fillId="7" borderId="28" xfId="0" applyNumberFormat="1" applyFont="1" applyFill="1" applyBorder="1" applyAlignment="1">
      <alignment horizontal="left"/>
    </xf>
    <xf numFmtId="0" fontId="19" fillId="7" borderId="0" xfId="0" applyFont="1" applyFill="1"/>
    <xf numFmtId="14" fontId="0" fillId="0" borderId="0" xfId="0" applyNumberFormat="1"/>
    <xf numFmtId="0" fontId="19" fillId="0" borderId="28" xfId="0" applyFont="1" applyBorder="1"/>
    <xf numFmtId="6" fontId="19" fillId="0" borderId="28" xfId="0" applyNumberFormat="1" applyFont="1" applyBorder="1"/>
    <xf numFmtId="164" fontId="19" fillId="0" borderId="1" xfId="0" applyNumberFormat="1" applyFont="1" applyBorder="1"/>
    <xf numFmtId="4" fontId="19" fillId="0" borderId="7" xfId="0" applyNumberFormat="1" applyFont="1" applyBorder="1"/>
    <xf numFmtId="4" fontId="0" fillId="0" borderId="29" xfId="0" applyNumberFormat="1" applyBorder="1"/>
    <xf numFmtId="4" fontId="0" fillId="0" borderId="30" xfId="0" applyNumberFormat="1" applyBorder="1"/>
    <xf numFmtId="0" fontId="0" fillId="0" borderId="4" xfId="0" applyBorder="1"/>
    <xf numFmtId="164" fontId="0" fillId="0" borderId="31" xfId="0" applyNumberFormat="1" applyBorder="1"/>
    <xf numFmtId="4" fontId="19" fillId="0" borderId="8" xfId="0" applyNumberFormat="1" applyFont="1" applyBorder="1"/>
    <xf numFmtId="8" fontId="0" fillId="0" borderId="0" xfId="0" applyNumberFormat="1"/>
    <xf numFmtId="0" fontId="0" fillId="7" borderId="0" xfId="0" applyFill="1"/>
    <xf numFmtId="0" fontId="23" fillId="7" borderId="0" xfId="0" applyFont="1" applyFill="1"/>
    <xf numFmtId="0" fontId="24" fillId="7" borderId="0" xfId="0" applyFont="1" applyFill="1"/>
    <xf numFmtId="0" fontId="23" fillId="0" borderId="0" xfId="0" applyFont="1"/>
    <xf numFmtId="14" fontId="23" fillId="0" borderId="0" xfId="0" applyNumberFormat="1" applyFont="1"/>
    <xf numFmtId="6" fontId="23" fillId="0" borderId="0" xfId="0" applyNumberFormat="1" applyFont="1"/>
    <xf numFmtId="14" fontId="19" fillId="0" borderId="0" xfId="0" applyNumberFormat="1" applyFont="1"/>
    <xf numFmtId="6" fontId="23" fillId="7" borderId="0" xfId="0" applyNumberFormat="1" applyFont="1" applyFill="1"/>
    <xf numFmtId="0" fontId="23" fillId="0" borderId="0" xfId="0" applyFont="1" applyAlignment="1">
      <alignment horizontal="center"/>
    </xf>
    <xf numFmtId="16" fontId="23" fillId="0" borderId="0" xfId="0" applyNumberFormat="1" applyFont="1"/>
    <xf numFmtId="164" fontId="23" fillId="0" borderId="1" xfId="0" applyNumberFormat="1" applyFont="1" applyBorder="1"/>
    <xf numFmtId="4" fontId="23" fillId="0" borderId="7" xfId="0" applyNumberFormat="1" applyFont="1" applyBorder="1"/>
    <xf numFmtId="16" fontId="16" fillId="0" borderId="0" xfId="1" applyNumberFormat="1" applyFill="1"/>
    <xf numFmtId="0" fontId="16" fillId="0" borderId="0" xfId="1" applyFill="1"/>
    <xf numFmtId="165" fontId="16" fillId="0" borderId="0" xfId="1" applyNumberFormat="1" applyFill="1"/>
    <xf numFmtId="16" fontId="25" fillId="0" borderId="0" xfId="1" applyNumberFormat="1" applyFont="1" applyFill="1"/>
    <xf numFmtId="0" fontId="25" fillId="0" borderId="0" xfId="1" applyFont="1" applyFill="1"/>
    <xf numFmtId="165" fontId="25" fillId="0" borderId="0" xfId="1" applyNumberFormat="1" applyFont="1" applyFill="1"/>
    <xf numFmtId="17" fontId="0" fillId="0" borderId="0" xfId="0" applyNumberFormat="1"/>
    <xf numFmtId="165" fontId="0" fillId="7" borderId="0" xfId="0" applyNumberFormat="1" applyFill="1"/>
    <xf numFmtId="3" fontId="0" fillId="0" borderId="0" xfId="0" applyNumberFormat="1"/>
    <xf numFmtId="14" fontId="19" fillId="7" borderId="28" xfId="0" applyNumberFormat="1" applyFont="1" applyFill="1" applyBorder="1" applyAlignment="1">
      <alignment horizontal="left"/>
    </xf>
    <xf numFmtId="0" fontId="19" fillId="7" borderId="28" xfId="0" applyFont="1" applyFill="1" applyBorder="1" applyAlignment="1">
      <alignment horizontal="left"/>
    </xf>
    <xf numFmtId="0" fontId="19" fillId="7" borderId="28" xfId="0" applyFont="1" applyFill="1" applyBorder="1"/>
    <xf numFmtId="165" fontId="19" fillId="7" borderId="28" xfId="0" applyNumberFormat="1" applyFont="1" applyFill="1" applyBorder="1"/>
    <xf numFmtId="164" fontId="19" fillId="0" borderId="31" xfId="0" applyNumberFormat="1" applyFont="1" applyBorder="1"/>
    <xf numFmtId="14" fontId="0" fillId="0" borderId="31" xfId="0" applyNumberFormat="1" applyBorder="1"/>
    <xf numFmtId="14" fontId="0" fillId="0" borderId="1" xfId="0" applyNumberFormat="1" applyBorder="1"/>
    <xf numFmtId="0" fontId="19" fillId="7" borderId="33" xfId="0" applyFont="1" applyFill="1" applyBorder="1"/>
    <xf numFmtId="0" fontId="0" fillId="7" borderId="33" xfId="0" applyFill="1" applyBorder="1"/>
    <xf numFmtId="6" fontId="19" fillId="7" borderId="33" xfId="0" applyNumberFormat="1" applyFont="1" applyFill="1" applyBorder="1"/>
    <xf numFmtId="4" fontId="0" fillId="0" borderId="35" xfId="0" applyNumberFormat="1" applyBorder="1"/>
    <xf numFmtId="4" fontId="0" fillId="0" borderId="36" xfId="0" applyNumberFormat="1" applyBorder="1"/>
    <xf numFmtId="0" fontId="0" fillId="0" borderId="26" xfId="0" applyBorder="1"/>
    <xf numFmtId="4" fontId="0" fillId="0" borderId="39" xfId="0" applyNumberFormat="1" applyBorder="1"/>
    <xf numFmtId="4" fontId="0" fillId="0" borderId="38" xfId="0" applyNumberFormat="1" applyBorder="1"/>
    <xf numFmtId="164" fontId="22" fillId="0" borderId="1" xfId="0" applyNumberFormat="1" applyFont="1" applyBorder="1"/>
    <xf numFmtId="4" fontId="0" fillId="0" borderId="40" xfId="0" applyNumberFormat="1" applyBorder="1"/>
    <xf numFmtId="4" fontId="0" fillId="0" borderId="41" xfId="0" applyNumberFormat="1" applyBorder="1"/>
    <xf numFmtId="14" fontId="0" fillId="0" borderId="42" xfId="0" applyNumberFormat="1" applyBorder="1"/>
    <xf numFmtId="4" fontId="0" fillId="0" borderId="45" xfId="0" applyNumberFormat="1" applyBorder="1"/>
    <xf numFmtId="0" fontId="0" fillId="0" borderId="44" xfId="0" applyBorder="1"/>
    <xf numFmtId="0" fontId="0" fillId="0" borderId="46" xfId="0" applyBorder="1" applyAlignment="1">
      <alignment horizontal="center"/>
    </xf>
    <xf numFmtId="0" fontId="0" fillId="0" borderId="49" xfId="0" applyBorder="1"/>
    <xf numFmtId="4" fontId="0" fillId="0" borderId="50" xfId="0" applyNumberFormat="1" applyBorder="1"/>
    <xf numFmtId="4" fontId="19" fillId="0" borderId="0" xfId="0" applyNumberFormat="1" applyFont="1"/>
    <xf numFmtId="4" fontId="0" fillId="0" borderId="51" xfId="0" applyNumberFormat="1" applyBorder="1"/>
    <xf numFmtId="0" fontId="0" fillId="0" borderId="42" xfId="0" applyBorder="1"/>
    <xf numFmtId="164" fontId="18" fillId="0" borderId="34" xfId="0" applyNumberFormat="1" applyFont="1" applyBorder="1"/>
    <xf numFmtId="164" fontId="0" fillId="0" borderId="42" xfId="0" applyNumberFormat="1" applyBorder="1"/>
    <xf numFmtId="0" fontId="19" fillId="0" borderId="42" xfId="0" applyFont="1" applyBorder="1"/>
    <xf numFmtId="164" fontId="0" fillId="0" borderId="29" xfId="0" applyNumberFormat="1" applyBorder="1"/>
    <xf numFmtId="0" fontId="0" fillId="0" borderId="52" xfId="0" applyBorder="1"/>
    <xf numFmtId="164" fontId="0" fillId="0" borderId="54" xfId="0" applyNumberFormat="1" applyBorder="1"/>
    <xf numFmtId="0" fontId="0" fillId="0" borderId="55" xfId="0" applyBorder="1"/>
    <xf numFmtId="165" fontId="18" fillId="0" borderId="0" xfId="0" applyNumberFormat="1" applyFont="1"/>
    <xf numFmtId="0" fontId="0" fillId="0" borderId="56" xfId="0" applyBorder="1"/>
    <xf numFmtId="4" fontId="18" fillId="0" borderId="7" xfId="0" applyNumberFormat="1" applyFont="1" applyBorder="1"/>
    <xf numFmtId="0" fontId="22" fillId="0" borderId="28" xfId="0" applyFont="1" applyBorder="1"/>
    <xf numFmtId="6" fontId="22" fillId="0" borderId="28" xfId="0" applyNumberFormat="1" applyFont="1" applyBorder="1"/>
    <xf numFmtId="0" fontId="18" fillId="0" borderId="0" xfId="0" applyFont="1"/>
    <xf numFmtId="0" fontId="2" fillId="3" borderId="0" xfId="0" applyFont="1" applyFill="1" applyAlignment="1">
      <alignment horizontal="left"/>
    </xf>
    <xf numFmtId="0" fontId="0" fillId="3" borderId="0" xfId="0" applyFill="1" applyAlignment="1">
      <alignment horizontal="left"/>
    </xf>
    <xf numFmtId="0" fontId="17" fillId="3" borderId="3" xfId="1" applyFont="1" applyFill="1" applyBorder="1" applyAlignment="1">
      <alignment horizontal="left"/>
    </xf>
    <xf numFmtId="0" fontId="0" fillId="0" borderId="0" xfId="0" applyAlignment="1">
      <alignment horizontal="center"/>
    </xf>
    <xf numFmtId="4" fontId="11" fillId="2" borderId="0" xfId="0" applyNumberFormat="1" applyFont="1" applyFill="1" applyAlignment="1">
      <alignment horizontal="center" vertical="center"/>
    </xf>
    <xf numFmtId="0" fontId="2" fillId="3" borderId="3" xfId="0" applyFont="1" applyFill="1" applyBorder="1" applyAlignment="1">
      <alignment horizontal="left"/>
    </xf>
    <xf numFmtId="0" fontId="15" fillId="2" borderId="0" xfId="0" applyFont="1" applyFill="1" applyAlignment="1">
      <alignment horizontal="left"/>
    </xf>
    <xf numFmtId="0" fontId="2" fillId="2" borderId="0" xfId="0" applyFont="1" applyFill="1" applyAlignment="1">
      <alignment horizontal="left"/>
    </xf>
    <xf numFmtId="0" fontId="5" fillId="2" borderId="2" xfId="0" applyFont="1" applyFill="1" applyBorder="1" applyAlignment="1">
      <alignment horizontal="left"/>
    </xf>
    <xf numFmtId="0" fontId="10" fillId="2" borderId="13" xfId="0" applyFont="1" applyFill="1" applyBorder="1" applyAlignment="1">
      <alignment horizontal="left"/>
    </xf>
    <xf numFmtId="0" fontId="10" fillId="2" borderId="14" xfId="0" applyFont="1" applyFill="1" applyBorder="1" applyAlignment="1">
      <alignment horizontal="left"/>
    </xf>
    <xf numFmtId="0" fontId="10" fillId="2" borderId="15" xfId="0" applyFont="1" applyFill="1" applyBorder="1" applyAlignment="1">
      <alignment horizontal="left"/>
    </xf>
    <xf numFmtId="0" fontId="24" fillId="7" borderId="0" xfId="0" applyFont="1" applyFill="1" applyAlignment="1">
      <alignment horizontal="center"/>
    </xf>
    <xf numFmtId="0" fontId="19" fillId="7" borderId="32" xfId="0" applyFont="1" applyFill="1" applyBorder="1" applyAlignment="1">
      <alignment horizontal="center"/>
    </xf>
    <xf numFmtId="0" fontId="19" fillId="7" borderId="57" xfId="0" applyFont="1" applyFill="1" applyBorder="1" applyAlignment="1">
      <alignment horizontal="center"/>
    </xf>
    <xf numFmtId="0" fontId="0" fillId="0" borderId="5" xfId="0" applyBorder="1" applyAlignment="1">
      <alignment horizontal="center"/>
    </xf>
    <xf numFmtId="0" fontId="22" fillId="8" borderId="43" xfId="0" applyFont="1" applyFill="1" applyBorder="1" applyAlignment="1">
      <alignment horizontal="center"/>
    </xf>
    <xf numFmtId="0" fontId="22" fillId="8" borderId="53" xfId="0" applyFont="1" applyFill="1" applyBorder="1" applyAlignment="1">
      <alignment horizontal="center"/>
    </xf>
    <xf numFmtId="0" fontId="19" fillId="7" borderId="5" xfId="0" applyFont="1" applyFill="1" applyBorder="1" applyAlignment="1">
      <alignment horizontal="center"/>
    </xf>
    <xf numFmtId="0" fontId="19" fillId="7" borderId="37" xfId="0" applyFont="1" applyFill="1" applyBorder="1" applyAlignment="1">
      <alignment horizontal="center"/>
    </xf>
    <xf numFmtId="0" fontId="20" fillId="7" borderId="5" xfId="0" applyFont="1" applyFill="1" applyBorder="1" applyAlignment="1">
      <alignment horizontal="center"/>
    </xf>
    <xf numFmtId="0" fontId="20" fillId="7" borderId="37" xfId="0" applyFont="1" applyFill="1" applyBorder="1" applyAlignment="1">
      <alignment horizontal="center"/>
    </xf>
    <xf numFmtId="0" fontId="19" fillId="7" borderId="47" xfId="0" applyFont="1" applyFill="1" applyBorder="1" applyAlignment="1">
      <alignment horizontal="center"/>
    </xf>
    <xf numFmtId="0" fontId="19" fillId="7" borderId="48" xfId="0" applyFont="1" applyFill="1" applyBorder="1" applyAlignment="1">
      <alignment horizontal="center"/>
    </xf>
    <xf numFmtId="0" fontId="19" fillId="7" borderId="6" xfId="0" applyFont="1" applyFill="1" applyBorder="1" applyAlignment="1">
      <alignment horizontal="center"/>
    </xf>
    <xf numFmtId="0" fontId="0" fillId="0" borderId="6" xfId="0" applyBorder="1" applyAlignment="1">
      <alignment horizontal="center"/>
    </xf>
    <xf numFmtId="4" fontId="0" fillId="0" borderId="0" xfId="0" applyNumberFormat="1" applyAlignment="1">
      <alignment horizontal="center"/>
    </xf>
    <xf numFmtId="0" fontId="0" fillId="0" borderId="0" xfId="0" applyAlignment="1">
      <alignment horizontal="left"/>
    </xf>
    <xf numFmtId="0" fontId="19" fillId="7" borderId="0" xfId="0" applyFont="1" applyFill="1" applyAlignment="1">
      <alignment horizontal="center"/>
    </xf>
    <xf numFmtId="14" fontId="19" fillId="7" borderId="33" xfId="0" applyNumberFormat="1" applyFont="1" applyFill="1" applyBorder="1" applyAlignment="1">
      <alignment horizontal="center"/>
    </xf>
    <xf numFmtId="14" fontId="20" fillId="7" borderId="0" xfId="0" applyNumberFormat="1" applyFont="1" applyFill="1" applyAlignment="1">
      <alignment horizontal="center"/>
    </xf>
    <xf numFmtId="14" fontId="20" fillId="7" borderId="28" xfId="0" applyNumberFormat="1" applyFont="1" applyFill="1" applyBorder="1" applyAlignment="1">
      <alignment horizontal="left"/>
    </xf>
    <xf numFmtId="14" fontId="19" fillId="7" borderId="0" xfId="0" applyNumberFormat="1" applyFont="1" applyFill="1" applyAlignment="1">
      <alignment horizontal="center"/>
    </xf>
    <xf numFmtId="14" fontId="19" fillId="7" borderId="28" xfId="0" applyNumberFormat="1" applyFont="1" applyFill="1" applyBorder="1" applyAlignment="1">
      <alignment horizontal="left"/>
    </xf>
    <xf numFmtId="0" fontId="11" fillId="2" borderId="0" xfId="0" applyFont="1" applyFill="1" applyAlignment="1">
      <alignment horizontal="center" vertical="center"/>
    </xf>
    <xf numFmtId="0" fontId="12" fillId="2" borderId="0" xfId="0" applyFont="1" applyFill="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13</xdr:col>
      <xdr:colOff>727671</xdr:colOff>
      <xdr:row>40</xdr:row>
      <xdr:rowOff>156449</xdr:rowOff>
    </xdr:from>
    <xdr:ext cx="6875859" cy="2158924"/>
    <xdr:sp macro="" textlink="">
      <xdr:nvSpPr>
        <xdr:cNvPr id="24" name="TextBox 1">
          <a:extLst>
            <a:ext uri="{FF2B5EF4-FFF2-40B4-BE49-F238E27FC236}">
              <a16:creationId xmlns:a16="http://schemas.microsoft.com/office/drawing/2014/main" id="{05D17825-6567-2039-00EC-4EA87DD6403F}"/>
            </a:ext>
          </a:extLst>
        </xdr:cNvPr>
        <xdr:cNvSpPr txBox="1"/>
      </xdr:nvSpPr>
      <xdr:spPr>
        <a:xfrm>
          <a:off x="10595571" y="7919325"/>
          <a:ext cx="6875859" cy="21589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ca-ES" sz="1200" b="1" i="0">
              <a:solidFill>
                <a:schemeClr val="tx1"/>
              </a:solidFill>
              <a:effectLst/>
              <a:latin typeface="+mn-lt"/>
              <a:ea typeface="+mn-ea"/>
              <a:cs typeface="+mn-cs"/>
            </a:rPr>
            <a:t>Our decision to adopt the Last In, First Out (LIFO) inventory method stems from our commitment to offering our valued customers the most up-to-date and superior product options at all times. By prioritizing the newest items in our inventory, we ensure that our customers are not faced with the prospect of purchasing outdated materials. This approach aligns with our core objective of providing exceptional customer experiences and maintaining a competitive edge in the market. We recognize that the presence of older inventory could potentially lead to the necessity of offering discounts, which may compromise our profitability and undermine our reputation. Moreover, by refraining from stockpiling excessive quantities of rackets and balls, we enable our clientele to explore and obtain the latest merchandise from alternative sources if desired. In conclusion, the utilization of the LIFO method serves as a strategic measure to uphold our commitment to delivering high-quality, contemporary products and preserving customer satisfaction.</a:t>
          </a:r>
          <a:endParaRPr lang="ca-ES" sz="1200" b="1"/>
        </a:p>
      </xdr:txBody>
    </xdr:sp>
    <xdr:clientData/>
  </xdr:oneCellAnchor>
  <xdr:oneCellAnchor>
    <xdr:from>
      <xdr:col>0</xdr:col>
      <xdr:colOff>723900</xdr:colOff>
      <xdr:row>40</xdr:row>
      <xdr:rowOff>158970</xdr:rowOff>
    </xdr:from>
    <xdr:ext cx="6857999" cy="2346796"/>
    <xdr:sp macro="" textlink="">
      <xdr:nvSpPr>
        <xdr:cNvPr id="44" name="TextBox 2">
          <a:extLst>
            <a:ext uri="{FF2B5EF4-FFF2-40B4-BE49-F238E27FC236}">
              <a16:creationId xmlns:a16="http://schemas.microsoft.com/office/drawing/2014/main" id="{67CBEB4A-AB11-D256-247A-FECDF4C95917}"/>
            </a:ext>
          </a:extLst>
        </xdr:cNvPr>
        <xdr:cNvSpPr txBox="1"/>
      </xdr:nvSpPr>
      <xdr:spPr>
        <a:xfrm>
          <a:off x="723900" y="7921846"/>
          <a:ext cx="6857999" cy="2346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ca-ES" sz="1200" b="1" i="0">
              <a:solidFill>
                <a:schemeClr val="tx1"/>
              </a:solidFill>
              <a:effectLst/>
              <a:latin typeface="+mn-lt"/>
              <a:ea typeface="+mn-ea"/>
              <a:cs typeface="+mn-cs"/>
            </a:rPr>
            <a:t>Our rationale for selectingthe Last In, First Out (LIFO) inventory method for our paddle balls is grounded in our dedication to providing our customers with the freshest and most desirable options available. By implementing the LIFO method, we ensure that the latest shipments of paddle balls are the first ones sold, guaranteeing that our customers have access to the newest and best products on the market. This approach allows us to avoid selling older inventory and eliminates the need for potential discounts or promotional activities associated with stagnant merchandise. Furthermore, by consciously managing our inventory levels and refraining from excessive stockpiling, we maintain flexibility and adaptability to market demands. Embracing the LIFO method not only aligns with our commitment to customer satisfaction but also reflects our strategic focus on optimizing sales and enhancing our brand reputation as a provider of premium and cutting-edge paddle balls. In summary, the utilization of the LIFO method for our paddle balls ensures that our customers always have access to the most current and superior options, reinforcing our position as a trusted and forward-thinking supplier in the industry.</a:t>
          </a:r>
        </a:p>
      </xdr:txBody>
    </xdr:sp>
    <xdr:clientData/>
  </xdr:oneCellAnchor>
  <xdr:oneCellAnchor>
    <xdr:from>
      <xdr:col>28</xdr:col>
      <xdr:colOff>742950</xdr:colOff>
      <xdr:row>18</xdr:row>
      <xdr:rowOff>173401</xdr:rowOff>
    </xdr:from>
    <xdr:ext cx="6191250" cy="843821"/>
    <xdr:sp macro="" textlink="">
      <xdr:nvSpPr>
        <xdr:cNvPr id="54" name="TextBox 3">
          <a:extLst>
            <a:ext uri="{FF2B5EF4-FFF2-40B4-BE49-F238E27FC236}">
              <a16:creationId xmlns:a16="http://schemas.microsoft.com/office/drawing/2014/main" id="{C64CD6B9-5833-2922-B0ED-547C23DD3ABB}"/>
            </a:ext>
          </a:extLst>
        </xdr:cNvPr>
        <xdr:cNvSpPr txBox="1"/>
      </xdr:nvSpPr>
      <xdr:spPr>
        <a:xfrm>
          <a:off x="21983700" y="3669077"/>
          <a:ext cx="6191250" cy="843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ca-ES" sz="1200" b="1" i="0">
              <a:solidFill>
                <a:schemeClr val="tx1"/>
              </a:solidFill>
              <a:effectLst/>
              <a:latin typeface="+mn-lt"/>
              <a:ea typeface="+mn-ea"/>
              <a:cs typeface="+mn-cs"/>
            </a:rPr>
            <a:t>We have opted for the Average Cost method for our product because we have previously utilized different inventory valuation methods and wanted to introduce a change in our approach. </a:t>
          </a:r>
        </a:p>
        <a:p>
          <a:pPr marL="0" indent="0" algn="ctr"/>
          <a:r>
            <a:rPr lang="ca-ES" sz="1200" b="1" i="0">
              <a:solidFill>
                <a:schemeClr val="tx1"/>
              </a:solidFill>
              <a:effectLst/>
              <a:latin typeface="+mn-lt"/>
              <a:ea typeface="+mn-ea"/>
              <a:cs typeface="+mn-cs"/>
            </a:rPr>
            <a:t>Additionally, for this particular product, all the available methods yield identical results</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CC4AA-6D53-A64A-91C6-8BF4FA95347C}">
  <dimension ref="A1:AC197"/>
  <sheetViews>
    <sheetView zoomScale="83" zoomScaleNormal="83" workbookViewId="0">
      <pane xSplit="9" ySplit="5" topLeftCell="J107" activePane="bottomRight" state="frozen"/>
      <selection pane="topRight" activeCell="J1" sqref="J1"/>
      <selection pane="bottomLeft" activeCell="A6" sqref="A6"/>
      <selection pane="bottomRight" activeCell="K162" sqref="K162"/>
    </sheetView>
  </sheetViews>
  <sheetFormatPr baseColWidth="10" defaultColWidth="11.5703125" defaultRowHeight="17"/>
  <cols>
    <col min="2" max="2" width="13.7109375" customWidth="1"/>
    <col min="3" max="3" width="25.7109375" customWidth="1"/>
    <col min="4" max="4" width="15.28515625" customWidth="1"/>
    <col min="5" max="5" width="11.140625" bestFit="1" customWidth="1"/>
    <col min="8" max="8" width="14" style="55" customWidth="1"/>
    <col min="9" max="9" width="16.42578125" style="55" customWidth="1"/>
    <col min="10" max="10" width="11.140625" bestFit="1" customWidth="1"/>
    <col min="11" max="12" width="11.7109375" customWidth="1"/>
    <col min="13" max="13" width="2.5703125" customWidth="1"/>
    <col min="14" max="15" width="11.7109375" customWidth="1"/>
    <col min="24" max="24" width="32.28515625" bestFit="1" customWidth="1"/>
    <col min="26" max="26" width="16.42578125" bestFit="1" customWidth="1"/>
    <col min="27" max="27" width="16.28515625" bestFit="1" customWidth="1"/>
    <col min="28" max="28" width="30.42578125" bestFit="1" customWidth="1"/>
    <col min="29" max="29" width="7.85546875" bestFit="1" customWidth="1"/>
  </cols>
  <sheetData>
    <row r="1" spans="1:29" ht="26" customHeight="1" thickBot="1">
      <c r="A1" s="25" t="s">
        <v>0</v>
      </c>
      <c r="B1" s="5"/>
      <c r="C1" s="150" t="s">
        <v>1</v>
      </c>
      <c r="D1" s="150"/>
      <c r="E1" s="150"/>
      <c r="F1" s="150"/>
      <c r="G1" s="148" t="s">
        <v>2</v>
      </c>
      <c r="H1" s="148"/>
      <c r="I1" s="148"/>
      <c r="K1" s="147" t="s">
        <v>3</v>
      </c>
      <c r="L1" s="147"/>
      <c r="N1" s="147" t="s">
        <v>4</v>
      </c>
      <c r="O1" s="147"/>
      <c r="V1" t="s">
        <v>5</v>
      </c>
      <c r="X1" t="s">
        <v>6</v>
      </c>
    </row>
    <row r="2" spans="1:29" ht="26" customHeight="1" thickTop="1">
      <c r="A2" s="4" t="s">
        <v>7</v>
      </c>
      <c r="B2" s="151"/>
      <c r="C2" s="151"/>
      <c r="D2" s="151"/>
      <c r="E2" s="151"/>
      <c r="F2" s="151"/>
      <c r="G2" s="148"/>
      <c r="H2" s="148"/>
      <c r="I2" s="148"/>
      <c r="K2" s="16" t="s">
        <v>8</v>
      </c>
      <c r="L2" s="17" t="s">
        <v>9</v>
      </c>
      <c r="N2" s="16" t="s">
        <v>8</v>
      </c>
      <c r="O2" s="17" t="s">
        <v>9</v>
      </c>
      <c r="V2" t="s">
        <v>10</v>
      </c>
      <c r="X2" t="s">
        <v>11</v>
      </c>
    </row>
    <row r="3" spans="1:29" ht="23" customHeight="1">
      <c r="A3" s="3" t="s">
        <v>12</v>
      </c>
      <c r="B3" s="3"/>
      <c r="K3" s="20" t="s">
        <v>13</v>
      </c>
      <c r="L3" s="22" t="s">
        <v>14</v>
      </c>
      <c r="N3" s="23" t="s">
        <v>14</v>
      </c>
      <c r="O3" s="21" t="s">
        <v>13</v>
      </c>
      <c r="V3" t="s">
        <v>15</v>
      </c>
    </row>
    <row r="4" spans="1:29" ht="23" customHeight="1">
      <c r="A4" s="15"/>
      <c r="B4" s="15">
        <v>44562</v>
      </c>
      <c r="K4" s="18"/>
      <c r="L4" s="19"/>
      <c r="N4" s="18"/>
      <c r="O4" s="19"/>
      <c r="V4" t="s">
        <v>16</v>
      </c>
    </row>
    <row r="5" spans="1:29" ht="23">
      <c r="A5" s="152" t="s">
        <v>17</v>
      </c>
      <c r="B5" s="152"/>
      <c r="C5" s="152"/>
      <c r="D5" s="152"/>
      <c r="E5" s="152"/>
      <c r="F5" s="152"/>
      <c r="G5" s="152"/>
      <c r="H5" s="152"/>
      <c r="I5" s="152"/>
      <c r="K5" s="18"/>
      <c r="L5" s="19"/>
      <c r="N5" s="18"/>
      <c r="O5" s="19"/>
      <c r="V5" t="s">
        <v>18</v>
      </c>
      <c r="X5" t="s">
        <v>19</v>
      </c>
      <c r="Y5" t="s">
        <v>20</v>
      </c>
      <c r="Z5" t="s">
        <v>21</v>
      </c>
      <c r="AA5" t="s">
        <v>22</v>
      </c>
      <c r="AB5" t="s">
        <v>23</v>
      </c>
      <c r="AC5" t="s">
        <v>24</v>
      </c>
    </row>
    <row r="6" spans="1:29" s="2" customFormat="1" ht="20">
      <c r="A6" s="24" t="s">
        <v>25</v>
      </c>
      <c r="B6" s="24" t="s">
        <v>5</v>
      </c>
      <c r="C6" s="24" t="s">
        <v>26</v>
      </c>
      <c r="D6" s="24" t="s">
        <v>27</v>
      </c>
      <c r="E6" s="153" t="s">
        <v>28</v>
      </c>
      <c r="F6" s="154"/>
      <c r="G6" s="155"/>
      <c r="H6" s="56" t="s">
        <v>8</v>
      </c>
      <c r="I6" s="56" t="s">
        <v>9</v>
      </c>
      <c r="V6" t="s">
        <v>29</v>
      </c>
      <c r="W6"/>
      <c r="X6" t="s">
        <v>30</v>
      </c>
      <c r="Y6" s="2">
        <v>1000</v>
      </c>
      <c r="Z6" t="s">
        <v>31</v>
      </c>
      <c r="AA6" t="s">
        <v>32</v>
      </c>
      <c r="AB6" t="s">
        <v>33</v>
      </c>
      <c r="AC6" t="s">
        <v>8</v>
      </c>
    </row>
    <row r="7" spans="1:29">
      <c r="A7" s="149" t="s">
        <v>89</v>
      </c>
      <c r="B7" s="149"/>
      <c r="C7" s="149"/>
      <c r="D7" s="149"/>
      <c r="E7" s="149"/>
      <c r="F7" s="149"/>
      <c r="G7" s="149"/>
      <c r="H7" s="149"/>
      <c r="I7" s="149"/>
      <c r="X7" t="s">
        <v>34</v>
      </c>
      <c r="Y7">
        <v>1010</v>
      </c>
      <c r="Z7" t="s">
        <v>31</v>
      </c>
      <c r="AA7" t="s">
        <v>32</v>
      </c>
      <c r="AB7" t="s">
        <v>33</v>
      </c>
      <c r="AC7" t="s">
        <v>8</v>
      </c>
    </row>
    <row r="8" spans="1:29">
      <c r="A8" s="98">
        <v>44927</v>
      </c>
      <c r="B8" s="99" t="s">
        <v>10</v>
      </c>
      <c r="C8" s="99" t="s">
        <v>11</v>
      </c>
      <c r="D8" s="99"/>
      <c r="E8" s="99"/>
      <c r="F8" s="99"/>
      <c r="G8" s="99"/>
      <c r="H8" s="100">
        <v>200000</v>
      </c>
      <c r="I8" s="100"/>
    </row>
    <row r="9" spans="1:29">
      <c r="A9" s="98"/>
      <c r="B9" s="99" t="s">
        <v>16</v>
      </c>
      <c r="C9" s="99" t="s">
        <v>48</v>
      </c>
      <c r="D9" s="99"/>
      <c r="E9" s="99"/>
      <c r="F9" s="99"/>
      <c r="G9" s="99"/>
      <c r="H9" s="100"/>
      <c r="I9" s="100">
        <v>200000</v>
      </c>
      <c r="X9" t="s">
        <v>35</v>
      </c>
      <c r="Y9">
        <v>1020</v>
      </c>
      <c r="Z9" t="s">
        <v>31</v>
      </c>
      <c r="AA9" t="s">
        <v>32</v>
      </c>
      <c r="AB9" t="s">
        <v>33</v>
      </c>
      <c r="AC9" t="s">
        <v>8</v>
      </c>
    </row>
    <row r="10" spans="1:29">
      <c r="A10" s="146" t="s">
        <v>90</v>
      </c>
      <c r="B10" s="146"/>
      <c r="C10" s="146"/>
      <c r="D10" s="146"/>
      <c r="E10" s="146"/>
      <c r="F10" s="146"/>
      <c r="G10" s="146"/>
      <c r="H10" s="146"/>
      <c r="I10" s="146"/>
      <c r="X10" t="s">
        <v>36</v>
      </c>
      <c r="Y10">
        <v>1030</v>
      </c>
      <c r="Z10" t="s">
        <v>31</v>
      </c>
      <c r="AA10" t="s">
        <v>32</v>
      </c>
      <c r="AB10" t="s">
        <v>33</v>
      </c>
      <c r="AC10" t="s">
        <v>8</v>
      </c>
    </row>
    <row r="11" spans="1:29">
      <c r="A11" s="95">
        <v>44927</v>
      </c>
      <c r="B11" s="96" t="s">
        <v>10</v>
      </c>
      <c r="C11" s="96" t="s">
        <v>92</v>
      </c>
      <c r="D11" s="96"/>
      <c r="E11" s="96"/>
      <c r="F11" s="96"/>
      <c r="G11" s="96"/>
      <c r="H11" s="97">
        <v>36000</v>
      </c>
      <c r="I11" s="97"/>
      <c r="X11" t="s">
        <v>37</v>
      </c>
      <c r="Y11">
        <v>1040</v>
      </c>
      <c r="Z11" t="s">
        <v>31</v>
      </c>
      <c r="AA11" t="s">
        <v>32</v>
      </c>
      <c r="AB11" t="s">
        <v>33</v>
      </c>
      <c r="AC11" t="s">
        <v>8</v>
      </c>
    </row>
    <row r="12" spans="1:29">
      <c r="A12" s="96"/>
      <c r="B12" s="96" t="s">
        <v>10</v>
      </c>
      <c r="C12" s="96" t="s">
        <v>11</v>
      </c>
      <c r="D12" s="96"/>
      <c r="E12" s="96"/>
      <c r="F12" s="96"/>
      <c r="G12" s="96"/>
      <c r="H12" s="97"/>
      <c r="I12" s="97">
        <v>36000</v>
      </c>
      <c r="X12" t="s">
        <v>38</v>
      </c>
      <c r="Y12">
        <v>1200</v>
      </c>
      <c r="Z12" t="s">
        <v>31</v>
      </c>
      <c r="AA12" t="s">
        <v>32</v>
      </c>
      <c r="AB12" t="s">
        <v>38</v>
      </c>
      <c r="AC12" t="s">
        <v>8</v>
      </c>
    </row>
    <row r="13" spans="1:29">
      <c r="A13" s="64" t="s">
        <v>96</v>
      </c>
      <c r="B13" s="63"/>
      <c r="C13" s="63"/>
      <c r="D13" s="63"/>
      <c r="E13" s="63"/>
      <c r="F13" s="63"/>
      <c r="G13" s="63"/>
      <c r="H13" s="63"/>
      <c r="I13" s="63"/>
      <c r="X13" t="s">
        <v>39</v>
      </c>
      <c r="Y13">
        <v>5030</v>
      </c>
      <c r="Z13" t="s">
        <v>40</v>
      </c>
      <c r="AA13" t="s">
        <v>29</v>
      </c>
      <c r="AB13" t="s">
        <v>41</v>
      </c>
      <c r="AC13" t="s">
        <v>8</v>
      </c>
    </row>
    <row r="14" spans="1:29">
      <c r="A14" s="95">
        <v>44927</v>
      </c>
      <c r="B14" s="96" t="s">
        <v>10</v>
      </c>
      <c r="C14" s="96" t="s">
        <v>97</v>
      </c>
      <c r="D14" s="96"/>
      <c r="E14" s="96"/>
      <c r="F14" s="96"/>
      <c r="G14" s="96"/>
      <c r="H14" s="97">
        <v>5700</v>
      </c>
      <c r="I14" s="97"/>
    </row>
    <row r="15" spans="1:29">
      <c r="A15" s="96"/>
      <c r="B15" s="96" t="s">
        <v>10</v>
      </c>
      <c r="C15" s="96" t="s">
        <v>11</v>
      </c>
      <c r="D15" s="96"/>
      <c r="E15" s="96"/>
      <c r="F15" s="96"/>
      <c r="G15" s="96"/>
      <c r="H15" s="97"/>
      <c r="I15" s="97">
        <v>5700</v>
      </c>
    </row>
    <row r="16" spans="1:29">
      <c r="A16" s="146" t="s">
        <v>175</v>
      </c>
      <c r="B16" s="146"/>
      <c r="C16" s="146"/>
      <c r="D16" s="146"/>
      <c r="E16" s="146"/>
      <c r="F16" s="146"/>
      <c r="G16" s="146"/>
      <c r="H16" s="146"/>
      <c r="I16" s="146"/>
    </row>
    <row r="17" spans="1:29">
      <c r="A17" s="95">
        <v>44927</v>
      </c>
      <c r="B17" s="96" t="s">
        <v>10</v>
      </c>
      <c r="C17" s="96" t="s">
        <v>133</v>
      </c>
      <c r="D17" s="96" t="s">
        <v>134</v>
      </c>
      <c r="E17" s="96" t="s">
        <v>135</v>
      </c>
      <c r="F17" s="96"/>
      <c r="G17" s="96"/>
      <c r="H17" s="97">
        <v>400</v>
      </c>
      <c r="I17" s="97"/>
    </row>
    <row r="18" spans="1:29" ht="16.5" customHeight="1">
      <c r="A18" s="96"/>
      <c r="B18" s="96" t="s">
        <v>10</v>
      </c>
      <c r="C18" s="96" t="s">
        <v>11</v>
      </c>
      <c r="D18" s="96"/>
      <c r="E18" s="96"/>
      <c r="F18" s="96"/>
      <c r="G18" s="96"/>
      <c r="H18" s="97"/>
      <c r="I18" s="97">
        <v>400</v>
      </c>
    </row>
    <row r="19" spans="1:29">
      <c r="A19" s="146" t="s">
        <v>176</v>
      </c>
      <c r="B19" s="146"/>
      <c r="C19" s="146"/>
      <c r="D19" s="146"/>
      <c r="E19" s="146"/>
      <c r="F19" s="146"/>
      <c r="G19" s="146"/>
      <c r="H19" s="146"/>
      <c r="I19" s="146"/>
    </row>
    <row r="20" spans="1:29">
      <c r="A20" s="95">
        <v>44927</v>
      </c>
      <c r="B20" s="96" t="s">
        <v>10</v>
      </c>
      <c r="C20" s="96" t="s">
        <v>177</v>
      </c>
      <c r="D20" s="96" t="s">
        <v>134</v>
      </c>
      <c r="E20" s="96" t="s">
        <v>135</v>
      </c>
      <c r="F20" s="96"/>
      <c r="G20" s="96"/>
      <c r="H20" s="97">
        <v>950</v>
      </c>
      <c r="I20" s="97"/>
    </row>
    <row r="21" spans="1:29">
      <c r="A21" s="96"/>
      <c r="B21" s="96" t="s">
        <v>10</v>
      </c>
      <c r="C21" s="96" t="s">
        <v>11</v>
      </c>
      <c r="D21" s="96"/>
      <c r="E21" s="96"/>
      <c r="F21" s="96"/>
      <c r="G21" s="96"/>
      <c r="H21" s="97"/>
      <c r="I21" s="97">
        <v>950</v>
      </c>
    </row>
    <row r="22" spans="1:29">
      <c r="A22" s="64" t="s">
        <v>107</v>
      </c>
      <c r="B22" s="64"/>
      <c r="C22" s="64"/>
      <c r="D22" s="64"/>
      <c r="E22" s="64"/>
      <c r="F22" s="64"/>
      <c r="G22" s="64"/>
      <c r="H22" s="64"/>
      <c r="I22" s="64"/>
      <c r="X22" t="s">
        <v>42</v>
      </c>
      <c r="Y22">
        <v>4800</v>
      </c>
      <c r="Z22" t="s">
        <v>40</v>
      </c>
      <c r="AA22" t="s">
        <v>29</v>
      </c>
      <c r="AB22" t="s">
        <v>42</v>
      </c>
      <c r="AC22" t="s">
        <v>8</v>
      </c>
    </row>
    <row r="23" spans="1:29">
      <c r="A23" s="95">
        <v>44927</v>
      </c>
      <c r="B23" s="96" t="s">
        <v>10</v>
      </c>
      <c r="C23" s="96" t="s">
        <v>106</v>
      </c>
      <c r="D23" s="96"/>
      <c r="E23" s="96"/>
      <c r="F23" s="96"/>
      <c r="G23" s="96"/>
      <c r="H23" s="97">
        <v>250</v>
      </c>
      <c r="I23" s="97"/>
      <c r="X23" t="s">
        <v>43</v>
      </c>
      <c r="Y23">
        <v>5000</v>
      </c>
      <c r="Z23" t="s">
        <v>40</v>
      </c>
      <c r="AA23" t="s">
        <v>29</v>
      </c>
      <c r="AB23" t="s">
        <v>41</v>
      </c>
      <c r="AC23" t="s">
        <v>8</v>
      </c>
    </row>
    <row r="24" spans="1:29">
      <c r="A24" s="96"/>
      <c r="B24" s="96" t="s">
        <v>10</v>
      </c>
      <c r="C24" s="96" t="s">
        <v>11</v>
      </c>
      <c r="D24" s="96"/>
      <c r="E24" s="96"/>
      <c r="F24" s="96"/>
      <c r="G24" s="96"/>
      <c r="H24" s="97"/>
      <c r="I24" s="97">
        <v>250</v>
      </c>
      <c r="X24" t="s">
        <v>44</v>
      </c>
      <c r="Y24">
        <v>5010</v>
      </c>
      <c r="Z24" t="s">
        <v>40</v>
      </c>
      <c r="AA24" t="s">
        <v>29</v>
      </c>
      <c r="AB24" t="s">
        <v>41</v>
      </c>
      <c r="AC24" t="s">
        <v>8</v>
      </c>
    </row>
    <row r="25" spans="1:29">
      <c r="A25" s="64" t="s">
        <v>205</v>
      </c>
      <c r="B25" s="64"/>
      <c r="C25" s="64"/>
      <c r="D25" s="64"/>
      <c r="E25" s="64"/>
      <c r="F25" s="64"/>
      <c r="G25" s="64"/>
      <c r="H25" s="64"/>
      <c r="I25" s="64"/>
      <c r="X25" t="s">
        <v>45</v>
      </c>
      <c r="Y25">
        <v>5020</v>
      </c>
      <c r="Z25" t="s">
        <v>40</v>
      </c>
      <c r="AA25" t="s">
        <v>29</v>
      </c>
      <c r="AB25" t="s">
        <v>41</v>
      </c>
      <c r="AC25" t="s">
        <v>8</v>
      </c>
    </row>
    <row r="26" spans="1:29">
      <c r="A26" s="95">
        <v>44927</v>
      </c>
      <c r="B26" s="96" t="s">
        <v>10</v>
      </c>
      <c r="C26" s="96" t="s">
        <v>113</v>
      </c>
      <c r="D26" s="96"/>
      <c r="E26" s="96"/>
      <c r="F26" s="96"/>
      <c r="G26" s="96"/>
      <c r="H26" s="97">
        <v>300</v>
      </c>
      <c r="I26" s="97"/>
      <c r="X26" t="s">
        <v>39</v>
      </c>
      <c r="Y26">
        <v>5030</v>
      </c>
      <c r="Z26" t="s">
        <v>40</v>
      </c>
      <c r="AA26" t="s">
        <v>29</v>
      </c>
      <c r="AB26" t="s">
        <v>41</v>
      </c>
      <c r="AC26" t="s">
        <v>8</v>
      </c>
    </row>
    <row r="27" spans="1:29">
      <c r="A27" s="96"/>
      <c r="B27" s="96" t="s">
        <v>11</v>
      </c>
      <c r="C27" s="96" t="s">
        <v>11</v>
      </c>
      <c r="D27" s="96"/>
      <c r="E27" s="96"/>
      <c r="F27" s="96"/>
      <c r="G27" s="96"/>
      <c r="H27" s="97"/>
      <c r="I27" s="97">
        <v>300</v>
      </c>
    </row>
    <row r="28" spans="1:29">
      <c r="A28" s="64" t="s">
        <v>105</v>
      </c>
      <c r="B28" s="64"/>
      <c r="C28" s="64"/>
      <c r="D28" s="64"/>
      <c r="E28" s="64"/>
      <c r="F28" s="64"/>
      <c r="G28" s="64"/>
      <c r="H28" s="64"/>
      <c r="I28" s="64"/>
    </row>
    <row r="29" spans="1:29">
      <c r="A29" s="95">
        <v>44928</v>
      </c>
      <c r="B29" s="96" t="s">
        <v>10</v>
      </c>
      <c r="C29" s="96" t="s">
        <v>92</v>
      </c>
      <c r="D29" s="96"/>
      <c r="E29" s="96"/>
      <c r="F29" s="96"/>
      <c r="G29" s="96"/>
      <c r="H29" s="97"/>
      <c r="I29" s="97">
        <v>36000</v>
      </c>
    </row>
    <row r="30" spans="1:29">
      <c r="A30" s="96"/>
      <c r="B30" s="96" t="s">
        <v>10</v>
      </c>
      <c r="C30" s="96" t="s">
        <v>11</v>
      </c>
      <c r="D30" s="96"/>
      <c r="E30" s="96"/>
      <c r="F30" s="96"/>
      <c r="G30" s="96"/>
      <c r="H30" s="97"/>
      <c r="I30" s="97">
        <v>84000</v>
      </c>
    </row>
    <row r="31" spans="1:29">
      <c r="A31" s="96"/>
      <c r="B31" s="96" t="s">
        <v>10</v>
      </c>
      <c r="C31" s="96" t="s">
        <v>93</v>
      </c>
      <c r="D31" s="96"/>
      <c r="E31" s="96"/>
      <c r="F31" s="96"/>
      <c r="G31" s="96"/>
      <c r="H31" s="97">
        <v>120000</v>
      </c>
      <c r="I31" s="97"/>
    </row>
    <row r="32" spans="1:29">
      <c r="A32" s="64" t="s">
        <v>132</v>
      </c>
      <c r="B32" s="64"/>
      <c r="C32" s="64"/>
      <c r="D32" s="64"/>
      <c r="E32" s="64"/>
      <c r="F32" s="64"/>
      <c r="G32" s="64"/>
      <c r="H32" s="64"/>
      <c r="I32" s="64"/>
    </row>
    <row r="33" spans="1:9">
      <c r="A33" s="95">
        <v>44934</v>
      </c>
      <c r="B33" s="96" t="s">
        <v>10</v>
      </c>
      <c r="C33" s="95" t="s">
        <v>11</v>
      </c>
      <c r="D33" s="96"/>
      <c r="E33" s="96"/>
      <c r="F33" s="96"/>
      <c r="G33" s="96"/>
      <c r="H33" s="97">
        <v>7175</v>
      </c>
      <c r="I33" s="97"/>
    </row>
    <row r="34" spans="1:9">
      <c r="A34" s="96"/>
      <c r="B34" s="96" t="s">
        <v>18</v>
      </c>
      <c r="C34" s="96" t="s">
        <v>101</v>
      </c>
      <c r="D34" s="96"/>
      <c r="E34" s="96"/>
      <c r="F34" s="96"/>
      <c r="G34" s="96"/>
      <c r="H34" s="97"/>
      <c r="I34" s="97">
        <v>3675</v>
      </c>
    </row>
    <row r="35" spans="1:9">
      <c r="A35" s="96"/>
      <c r="B35" s="96" t="s">
        <v>18</v>
      </c>
      <c r="C35" s="96" t="s">
        <v>102</v>
      </c>
      <c r="D35" s="96"/>
      <c r="E35" s="96"/>
      <c r="F35" s="96"/>
      <c r="G35" s="96"/>
      <c r="H35" s="97"/>
      <c r="I35" s="97">
        <v>3500</v>
      </c>
    </row>
    <row r="36" spans="1:9">
      <c r="A36" s="64" t="s">
        <v>116</v>
      </c>
      <c r="B36" s="64"/>
      <c r="C36" s="64"/>
      <c r="D36" s="64"/>
      <c r="E36" s="64"/>
      <c r="F36" s="64"/>
      <c r="G36" s="64"/>
      <c r="H36" s="64"/>
      <c r="I36" s="64"/>
    </row>
    <row r="37" spans="1:9">
      <c r="A37" s="95">
        <v>44934</v>
      </c>
      <c r="B37" s="96" t="s">
        <v>18</v>
      </c>
      <c r="C37" s="96" t="s">
        <v>108</v>
      </c>
      <c r="D37" s="96"/>
      <c r="E37" s="96"/>
      <c r="F37" s="96"/>
      <c r="G37" s="96"/>
      <c r="H37" s="97"/>
      <c r="I37" s="97">
        <v>275</v>
      </c>
    </row>
    <row r="38" spans="1:9">
      <c r="A38" s="96"/>
      <c r="B38" s="96" t="s">
        <v>10</v>
      </c>
      <c r="C38" s="96" t="s">
        <v>11</v>
      </c>
      <c r="D38" s="96"/>
      <c r="E38" s="96"/>
      <c r="F38" s="96"/>
      <c r="G38" s="96"/>
      <c r="H38" s="97">
        <v>275</v>
      </c>
      <c r="I38" s="97"/>
    </row>
    <row r="39" spans="1:9">
      <c r="A39" s="64" t="s">
        <v>188</v>
      </c>
      <c r="B39" s="64"/>
      <c r="C39" s="64"/>
      <c r="D39" s="64"/>
      <c r="E39" s="64"/>
      <c r="F39" s="64"/>
      <c r="G39" s="64"/>
      <c r="H39" s="64"/>
      <c r="I39" s="64"/>
    </row>
    <row r="40" spans="1:9">
      <c r="A40" s="52">
        <v>44934</v>
      </c>
      <c r="B40" s="52" t="s">
        <v>147</v>
      </c>
      <c r="C40" t="s">
        <v>150</v>
      </c>
      <c r="D40" s="96"/>
      <c r="E40" s="96"/>
      <c r="F40" s="96"/>
      <c r="G40" s="96"/>
      <c r="H40" s="97"/>
      <c r="I40" s="100">
        <v>450</v>
      </c>
    </row>
    <row r="41" spans="1:9">
      <c r="B41" t="s">
        <v>148</v>
      </c>
      <c r="C41" t="s">
        <v>152</v>
      </c>
      <c r="I41" s="55">
        <v>200</v>
      </c>
    </row>
    <row r="42" spans="1:9">
      <c r="B42" t="s">
        <v>10</v>
      </c>
      <c r="C42" t="s">
        <v>11</v>
      </c>
      <c r="H42" s="55">
        <v>650</v>
      </c>
    </row>
    <row r="43" spans="1:9">
      <c r="A43" s="64" t="s">
        <v>187</v>
      </c>
      <c r="B43" s="64"/>
      <c r="C43" s="64"/>
      <c r="D43" s="64"/>
      <c r="E43" s="64"/>
      <c r="F43" s="64"/>
      <c r="G43" s="64"/>
      <c r="H43" s="64"/>
      <c r="I43" s="64"/>
    </row>
    <row r="44" spans="1:9">
      <c r="A44" s="95">
        <v>44941</v>
      </c>
      <c r="B44" s="96" t="s">
        <v>10</v>
      </c>
      <c r="C44" t="s">
        <v>173</v>
      </c>
      <c r="E44" s="96"/>
      <c r="F44" s="96"/>
      <c r="G44" s="96"/>
      <c r="H44" s="97">
        <v>1275</v>
      </c>
      <c r="I44" s="97"/>
    </row>
    <row r="45" spans="1:9">
      <c r="A45" s="96"/>
      <c r="B45" s="96" t="s">
        <v>10</v>
      </c>
      <c r="C45" s="96" t="s">
        <v>11</v>
      </c>
      <c r="D45" s="96"/>
      <c r="E45" s="96"/>
      <c r="F45" s="96"/>
      <c r="G45" s="96"/>
      <c r="H45" s="97"/>
      <c r="I45" s="97">
        <v>1275</v>
      </c>
    </row>
    <row r="46" spans="1:9">
      <c r="A46" s="64" t="s">
        <v>103</v>
      </c>
      <c r="B46" s="64"/>
      <c r="C46" s="64"/>
      <c r="D46" s="64"/>
      <c r="E46" s="64"/>
      <c r="F46" s="64"/>
      <c r="G46" s="64"/>
      <c r="H46" s="64"/>
      <c r="I46" s="64"/>
    </row>
    <row r="47" spans="1:9">
      <c r="A47" s="95">
        <v>44941</v>
      </c>
      <c r="B47" s="96" t="s">
        <v>10</v>
      </c>
      <c r="C47" s="95" t="s">
        <v>11</v>
      </c>
      <c r="D47" s="96"/>
      <c r="E47" s="96"/>
      <c r="F47" s="96"/>
      <c r="G47" s="96"/>
      <c r="H47" s="97">
        <v>7175</v>
      </c>
      <c r="I47" s="97"/>
    </row>
    <row r="48" spans="1:9">
      <c r="A48" s="96"/>
      <c r="B48" s="96" t="s">
        <v>18</v>
      </c>
      <c r="C48" s="96" t="s">
        <v>101</v>
      </c>
      <c r="D48" s="96"/>
      <c r="E48" s="96"/>
      <c r="F48" s="96"/>
      <c r="G48" s="96"/>
      <c r="H48" s="97"/>
      <c r="I48" s="97">
        <v>3675</v>
      </c>
    </row>
    <row r="49" spans="1:9">
      <c r="A49" s="96"/>
      <c r="B49" s="96" t="s">
        <v>18</v>
      </c>
      <c r="C49" s="96" t="s">
        <v>102</v>
      </c>
      <c r="D49" s="96"/>
      <c r="E49" s="96"/>
      <c r="F49" s="96"/>
      <c r="G49" s="96"/>
      <c r="H49" s="97"/>
      <c r="I49" s="97">
        <v>3500</v>
      </c>
    </row>
    <row r="50" spans="1:9">
      <c r="A50" s="64" t="s">
        <v>116</v>
      </c>
      <c r="B50" s="64"/>
      <c r="C50" s="64"/>
      <c r="D50" s="64"/>
      <c r="E50" s="64"/>
      <c r="F50" s="64"/>
      <c r="G50" s="64"/>
      <c r="H50" s="64"/>
      <c r="I50" s="64"/>
    </row>
    <row r="51" spans="1:9">
      <c r="A51" s="95">
        <v>44941</v>
      </c>
      <c r="B51" s="96" t="s">
        <v>18</v>
      </c>
      <c r="C51" s="96" t="s">
        <v>108</v>
      </c>
      <c r="D51" s="96"/>
      <c r="E51" s="96"/>
      <c r="F51" s="96"/>
      <c r="G51" s="96"/>
      <c r="H51" s="97"/>
      <c r="I51" s="97">
        <v>275</v>
      </c>
    </row>
    <row r="52" spans="1:9">
      <c r="A52" s="96"/>
      <c r="B52" s="96" t="s">
        <v>10</v>
      </c>
      <c r="C52" s="96" t="s">
        <v>11</v>
      </c>
      <c r="D52" s="96"/>
      <c r="E52" s="96"/>
      <c r="F52" s="96"/>
      <c r="G52" s="96"/>
      <c r="H52" s="97">
        <v>275</v>
      </c>
      <c r="I52" s="97"/>
    </row>
    <row r="53" spans="1:9">
      <c r="A53" s="64" t="s">
        <v>188</v>
      </c>
      <c r="B53" s="64"/>
      <c r="C53" s="64"/>
      <c r="D53" s="64"/>
      <c r="E53" s="64"/>
      <c r="F53" s="64"/>
      <c r="G53" s="64"/>
      <c r="H53" s="64"/>
      <c r="I53" s="64"/>
    </row>
    <row r="54" spans="1:9">
      <c r="A54" s="52">
        <v>44942</v>
      </c>
      <c r="B54" s="52" t="s">
        <v>136</v>
      </c>
      <c r="C54" t="s">
        <v>150</v>
      </c>
      <c r="D54" s="96"/>
      <c r="E54" s="96"/>
      <c r="F54" s="96"/>
      <c r="G54" s="96"/>
      <c r="H54" s="97"/>
      <c r="I54" s="97">
        <v>450</v>
      </c>
    </row>
    <row r="55" spans="1:9">
      <c r="B55" t="s">
        <v>137</v>
      </c>
      <c r="C55" t="s">
        <v>155</v>
      </c>
      <c r="I55" s="55">
        <v>200</v>
      </c>
    </row>
    <row r="56" spans="1:9">
      <c r="B56" t="s">
        <v>10</v>
      </c>
      <c r="C56" t="s">
        <v>11</v>
      </c>
      <c r="H56" s="55">
        <v>650</v>
      </c>
    </row>
    <row r="57" spans="1:9">
      <c r="A57" s="64" t="s">
        <v>103</v>
      </c>
      <c r="B57" s="64"/>
      <c r="C57" s="64"/>
      <c r="D57" s="64"/>
      <c r="E57" s="64"/>
      <c r="F57" s="64"/>
      <c r="G57" s="64"/>
      <c r="H57" s="64"/>
      <c r="I57" s="64"/>
    </row>
    <row r="58" spans="1:9">
      <c r="A58" s="95">
        <v>44948</v>
      </c>
      <c r="B58" s="96" t="s">
        <v>10</v>
      </c>
      <c r="C58" s="95" t="s">
        <v>11</v>
      </c>
      <c r="D58" s="96"/>
      <c r="E58" s="96"/>
      <c r="F58" s="96"/>
      <c r="G58" s="96"/>
      <c r="H58" s="97">
        <v>7175</v>
      </c>
      <c r="I58" s="97"/>
    </row>
    <row r="59" spans="1:9">
      <c r="A59" s="96"/>
      <c r="B59" s="96" t="s">
        <v>18</v>
      </c>
      <c r="C59" s="96" t="s">
        <v>101</v>
      </c>
      <c r="D59" s="96"/>
      <c r="E59" s="96"/>
      <c r="F59" s="96"/>
      <c r="G59" s="96"/>
      <c r="H59" s="97"/>
      <c r="I59" s="97">
        <v>3675</v>
      </c>
    </row>
    <row r="60" spans="1:9">
      <c r="A60" s="96"/>
      <c r="B60" s="96" t="s">
        <v>18</v>
      </c>
      <c r="C60" s="96" t="s">
        <v>102</v>
      </c>
      <c r="D60" s="96"/>
      <c r="E60" s="96"/>
      <c r="F60" s="96"/>
      <c r="G60" s="96"/>
      <c r="H60" s="97"/>
      <c r="I60" s="97">
        <v>3500</v>
      </c>
    </row>
    <row r="61" spans="1:9">
      <c r="A61" s="64" t="s">
        <v>116</v>
      </c>
      <c r="B61" s="64"/>
      <c r="C61" s="64"/>
      <c r="D61" s="64"/>
      <c r="E61" s="64"/>
      <c r="F61" s="64"/>
      <c r="G61" s="64"/>
      <c r="H61" s="64"/>
      <c r="I61" s="64"/>
    </row>
    <row r="62" spans="1:9">
      <c r="A62" s="95">
        <v>44948</v>
      </c>
      <c r="B62" s="96" t="s">
        <v>18</v>
      </c>
      <c r="C62" s="96" t="s">
        <v>108</v>
      </c>
      <c r="D62" s="96"/>
      <c r="E62" s="96"/>
      <c r="F62" s="96"/>
      <c r="G62" s="96"/>
      <c r="H62" s="97"/>
      <c r="I62" s="97">
        <v>275</v>
      </c>
    </row>
    <row r="63" spans="1:9">
      <c r="A63" s="96"/>
      <c r="B63" s="96" t="s">
        <v>10</v>
      </c>
      <c r="C63" s="96" t="s">
        <v>11</v>
      </c>
      <c r="D63" s="96"/>
      <c r="E63" s="96"/>
      <c r="F63" s="96"/>
      <c r="G63" s="96"/>
      <c r="H63" s="97">
        <v>275</v>
      </c>
      <c r="I63" s="97"/>
    </row>
    <row r="64" spans="1:9">
      <c r="A64" s="64" t="s">
        <v>188</v>
      </c>
      <c r="B64" s="64"/>
      <c r="C64" s="64"/>
      <c r="D64" s="64"/>
      <c r="E64" s="64"/>
      <c r="F64" s="64"/>
      <c r="G64" s="64"/>
      <c r="H64" s="64"/>
      <c r="I64" s="64"/>
    </row>
    <row r="65" spans="1:9">
      <c r="A65" s="52">
        <v>44948</v>
      </c>
      <c r="B65" s="52" t="s">
        <v>136</v>
      </c>
      <c r="C65" t="s">
        <v>138</v>
      </c>
      <c r="D65" s="96"/>
      <c r="E65" s="96"/>
      <c r="F65" s="96"/>
      <c r="G65" s="96"/>
      <c r="H65" s="97"/>
      <c r="I65" s="97">
        <v>450</v>
      </c>
    </row>
    <row r="66" spans="1:9">
      <c r="B66" t="s">
        <v>137</v>
      </c>
      <c r="C66" t="s">
        <v>139</v>
      </c>
      <c r="I66" s="55">
        <v>200</v>
      </c>
    </row>
    <row r="67" spans="1:9">
      <c r="B67" t="s">
        <v>10</v>
      </c>
      <c r="C67" t="s">
        <v>11</v>
      </c>
      <c r="H67" s="55">
        <v>650</v>
      </c>
    </row>
    <row r="68" spans="1:9">
      <c r="A68" s="64" t="s">
        <v>103</v>
      </c>
      <c r="B68" s="64"/>
      <c r="C68" s="64"/>
      <c r="D68" s="64"/>
      <c r="E68" s="64"/>
      <c r="F68" s="64"/>
      <c r="G68" s="64"/>
      <c r="H68" s="64"/>
      <c r="I68" s="64"/>
    </row>
    <row r="69" spans="1:9">
      <c r="A69" s="95">
        <v>44955</v>
      </c>
      <c r="B69" s="96" t="s">
        <v>10</v>
      </c>
      <c r="C69" s="96" t="s">
        <v>11</v>
      </c>
      <c r="D69" s="96"/>
      <c r="E69" s="96"/>
      <c r="F69" s="96"/>
      <c r="G69" s="96"/>
      <c r="H69" s="97">
        <v>7175</v>
      </c>
      <c r="I69" s="96"/>
    </row>
    <row r="70" spans="1:9">
      <c r="A70" s="96" t="s">
        <v>114</v>
      </c>
      <c r="B70" s="96" t="s">
        <v>18</v>
      </c>
      <c r="C70" s="96" t="s">
        <v>101</v>
      </c>
      <c r="D70" s="96"/>
      <c r="E70" s="96"/>
      <c r="F70" s="96"/>
      <c r="G70" s="96"/>
      <c r="H70" s="96"/>
      <c r="I70" s="97">
        <v>3675</v>
      </c>
    </row>
    <row r="71" spans="1:9">
      <c r="A71" s="96"/>
      <c r="B71" s="96" t="s">
        <v>18</v>
      </c>
      <c r="C71" s="96" t="s">
        <v>102</v>
      </c>
      <c r="D71" s="96"/>
      <c r="E71" s="96"/>
      <c r="F71" s="96"/>
      <c r="G71" s="96"/>
      <c r="H71" s="96"/>
      <c r="I71" s="97">
        <v>3500</v>
      </c>
    </row>
    <row r="72" spans="1:9">
      <c r="A72" s="54" t="s">
        <v>116</v>
      </c>
      <c r="B72" s="54"/>
      <c r="C72" s="54"/>
      <c r="D72" s="54"/>
      <c r="E72" s="54"/>
      <c r="F72" s="54"/>
      <c r="G72" s="54"/>
      <c r="H72" s="54"/>
      <c r="I72" s="54"/>
    </row>
    <row r="73" spans="1:9">
      <c r="A73" s="95">
        <v>44955</v>
      </c>
      <c r="B73" s="96" t="s">
        <v>18</v>
      </c>
      <c r="C73" s="96" t="s">
        <v>108</v>
      </c>
      <c r="D73" s="96"/>
      <c r="E73" s="96"/>
      <c r="F73" s="96"/>
      <c r="G73" s="96"/>
      <c r="H73" s="97"/>
      <c r="I73" s="97">
        <v>275</v>
      </c>
    </row>
    <row r="74" spans="1:9">
      <c r="A74" s="96" t="s">
        <v>114</v>
      </c>
      <c r="B74" s="96" t="s">
        <v>10</v>
      </c>
      <c r="C74" s="96" t="s">
        <v>11</v>
      </c>
      <c r="D74" s="96"/>
      <c r="E74" s="96"/>
      <c r="F74" s="96"/>
      <c r="G74" s="96"/>
      <c r="H74" s="97">
        <v>275</v>
      </c>
      <c r="I74" s="97"/>
    </row>
    <row r="75" spans="1:9">
      <c r="A75" s="64" t="s">
        <v>188</v>
      </c>
      <c r="B75" s="64"/>
      <c r="C75" s="64"/>
      <c r="D75" s="64"/>
      <c r="E75" s="64"/>
      <c r="F75" s="64"/>
      <c r="G75" s="64"/>
      <c r="H75" s="64"/>
      <c r="I75" s="64"/>
    </row>
    <row r="76" spans="1:9">
      <c r="A76" s="52">
        <v>44955</v>
      </c>
      <c r="B76" s="52" t="s">
        <v>136</v>
      </c>
      <c r="C76" t="s">
        <v>138</v>
      </c>
      <c r="D76" s="96"/>
      <c r="E76" s="96"/>
      <c r="F76" s="96"/>
      <c r="G76" s="96"/>
      <c r="H76" s="97"/>
      <c r="I76" s="97">
        <v>450</v>
      </c>
    </row>
    <row r="77" spans="1:9">
      <c r="B77" t="s">
        <v>137</v>
      </c>
      <c r="C77" t="s">
        <v>139</v>
      </c>
      <c r="I77" s="55">
        <v>200</v>
      </c>
    </row>
    <row r="78" spans="1:9">
      <c r="B78" t="s">
        <v>10</v>
      </c>
      <c r="C78" t="s">
        <v>11</v>
      </c>
      <c r="H78" s="55">
        <v>650</v>
      </c>
    </row>
    <row r="79" spans="1:9">
      <c r="A79" s="54" t="s">
        <v>109</v>
      </c>
      <c r="B79" s="54"/>
      <c r="C79" s="54"/>
      <c r="D79" s="54"/>
      <c r="E79" s="54"/>
      <c r="F79" s="54"/>
      <c r="G79" s="54"/>
      <c r="H79" s="54"/>
      <c r="I79" s="54"/>
    </row>
    <row r="80" spans="1:9">
      <c r="A80" s="95">
        <v>44957</v>
      </c>
      <c r="B80" s="96" t="s">
        <v>99</v>
      </c>
      <c r="C80" s="96" t="s">
        <v>111</v>
      </c>
      <c r="D80" s="96"/>
      <c r="E80" s="96"/>
      <c r="F80" s="96"/>
      <c r="G80" s="96"/>
      <c r="H80" s="97"/>
      <c r="I80" s="97">
        <v>5700</v>
      </c>
    </row>
    <row r="81" spans="1:9">
      <c r="A81" s="95"/>
      <c r="B81" s="96" t="s">
        <v>98</v>
      </c>
      <c r="C81" s="96" t="s">
        <v>86</v>
      </c>
      <c r="D81" s="96"/>
      <c r="E81" s="96"/>
      <c r="F81" s="96"/>
      <c r="G81" s="96"/>
      <c r="H81" s="97">
        <v>5700</v>
      </c>
      <c r="I81" s="97"/>
    </row>
    <row r="82" spans="1:9">
      <c r="A82" s="54" t="s">
        <v>117</v>
      </c>
      <c r="B82" s="54"/>
      <c r="C82" s="54"/>
      <c r="D82" s="54"/>
      <c r="E82" s="54"/>
      <c r="F82" s="54"/>
      <c r="G82" s="54"/>
      <c r="H82" s="54"/>
      <c r="I82" s="54"/>
    </row>
    <row r="83" spans="1:9" ht="23" customHeight="1">
      <c r="A83" s="95">
        <v>44957</v>
      </c>
      <c r="B83" s="96" t="s">
        <v>87</v>
      </c>
      <c r="C83" s="96" t="s">
        <v>11</v>
      </c>
      <c r="D83" s="96"/>
      <c r="E83" s="96"/>
      <c r="F83" s="96"/>
      <c r="G83" s="96"/>
      <c r="H83" s="97"/>
      <c r="I83" s="97">
        <v>5100</v>
      </c>
    </row>
    <row r="84" spans="1:9" ht="23" customHeight="1">
      <c r="A84" s="96"/>
      <c r="B84" s="96" t="s">
        <v>29</v>
      </c>
      <c r="C84" s="96" t="s">
        <v>91</v>
      </c>
      <c r="D84" s="96"/>
      <c r="E84" s="96"/>
      <c r="F84" s="96"/>
      <c r="G84" s="96"/>
      <c r="H84" s="97">
        <v>5100</v>
      </c>
      <c r="I84" s="97"/>
    </row>
    <row r="85" spans="1:9">
      <c r="A85" s="54" t="s">
        <v>118</v>
      </c>
      <c r="B85" s="54"/>
      <c r="C85" s="54"/>
      <c r="D85" s="54"/>
      <c r="E85" s="54"/>
      <c r="F85" s="54"/>
      <c r="G85" s="54"/>
      <c r="H85" s="54"/>
      <c r="I85" s="54"/>
    </row>
    <row r="86" spans="1:9">
      <c r="A86" s="95">
        <v>44957</v>
      </c>
      <c r="B86" s="96" t="s">
        <v>87</v>
      </c>
      <c r="C86" s="96" t="s">
        <v>11</v>
      </c>
      <c r="D86" s="96"/>
      <c r="E86" s="96"/>
      <c r="F86" s="96"/>
      <c r="G86" s="96"/>
      <c r="H86" s="97"/>
      <c r="I86" s="97">
        <v>2600</v>
      </c>
    </row>
    <row r="87" spans="1:9">
      <c r="A87" s="96"/>
      <c r="B87" s="96" t="s">
        <v>29</v>
      </c>
      <c r="C87" s="96" t="s">
        <v>91</v>
      </c>
      <c r="D87" s="96"/>
      <c r="E87" s="96"/>
      <c r="F87" s="96"/>
      <c r="G87" s="96"/>
      <c r="H87" s="97">
        <v>2600</v>
      </c>
      <c r="I87" s="97"/>
    </row>
    <row r="88" spans="1:9">
      <c r="A88" s="54" t="s">
        <v>119</v>
      </c>
      <c r="B88" s="54"/>
      <c r="C88" s="54"/>
      <c r="D88" s="54"/>
      <c r="E88" s="54"/>
      <c r="F88" s="54"/>
      <c r="G88" s="54"/>
      <c r="H88" s="54"/>
      <c r="I88" s="54"/>
    </row>
    <row r="89" spans="1:9">
      <c r="A89" s="95">
        <v>44957</v>
      </c>
      <c r="B89" s="96" t="s">
        <v>87</v>
      </c>
      <c r="C89" s="96" t="s">
        <v>11</v>
      </c>
      <c r="D89" s="96"/>
      <c r="E89" s="96"/>
      <c r="F89" s="96"/>
      <c r="G89" s="96"/>
      <c r="H89" s="97"/>
      <c r="I89" s="97">
        <v>6000</v>
      </c>
    </row>
    <row r="90" spans="1:9">
      <c r="A90" s="95"/>
      <c r="B90" s="96" t="s">
        <v>29</v>
      </c>
      <c r="C90" s="96" t="s">
        <v>91</v>
      </c>
      <c r="D90" s="96"/>
      <c r="E90" s="96"/>
      <c r="F90" s="96"/>
      <c r="G90" s="96"/>
      <c r="H90" s="97">
        <v>6000</v>
      </c>
      <c r="I90" s="97"/>
    </row>
    <row r="91" spans="1:9">
      <c r="A91" s="54" t="s">
        <v>120</v>
      </c>
      <c r="B91" s="54"/>
      <c r="C91" s="54"/>
      <c r="D91" s="54"/>
      <c r="E91" s="54"/>
      <c r="F91" s="54"/>
      <c r="G91" s="54"/>
      <c r="H91" s="54"/>
      <c r="I91" s="54"/>
    </row>
    <row r="92" spans="1:9">
      <c r="A92" s="95">
        <v>44957</v>
      </c>
      <c r="B92" s="96" t="s">
        <v>94</v>
      </c>
      <c r="C92" s="96" t="s">
        <v>11</v>
      </c>
      <c r="D92" s="96"/>
      <c r="E92" s="96"/>
      <c r="F92" s="96"/>
      <c r="G92" s="96"/>
      <c r="H92" s="97">
        <v>16200</v>
      </c>
      <c r="I92" s="97"/>
    </row>
    <row r="93" spans="1:9">
      <c r="A93" s="96"/>
      <c r="B93" s="96" t="s">
        <v>18</v>
      </c>
      <c r="C93" s="96" t="s">
        <v>95</v>
      </c>
      <c r="D93" s="96"/>
      <c r="E93" s="96"/>
      <c r="F93" s="96"/>
      <c r="G93" s="96"/>
      <c r="H93" s="97"/>
      <c r="I93" s="97">
        <v>16200</v>
      </c>
    </row>
    <row r="94" spans="1:9">
      <c r="A94" s="54" t="s">
        <v>110</v>
      </c>
      <c r="B94" s="54"/>
      <c r="C94" s="54"/>
      <c r="D94" s="54"/>
      <c r="E94" s="54"/>
      <c r="F94" s="54"/>
      <c r="G94" s="54"/>
      <c r="H94" s="54"/>
      <c r="I94" s="54"/>
    </row>
    <row r="95" spans="1:9">
      <c r="A95" s="95">
        <v>44957</v>
      </c>
      <c r="B95" s="96" t="s">
        <v>87</v>
      </c>
      <c r="C95" s="96" t="s">
        <v>11</v>
      </c>
      <c r="D95" s="96"/>
      <c r="E95" s="96"/>
      <c r="F95" s="96"/>
      <c r="G95" s="96"/>
      <c r="H95" s="97">
        <v>300</v>
      </c>
      <c r="I95" s="97"/>
    </row>
    <row r="96" spans="1:9">
      <c r="A96" s="95"/>
      <c r="B96" s="96" t="s">
        <v>18</v>
      </c>
      <c r="C96" s="96" t="s">
        <v>88</v>
      </c>
      <c r="D96" s="96"/>
      <c r="E96" s="96"/>
      <c r="F96" s="96"/>
      <c r="G96" s="96"/>
      <c r="H96" s="97"/>
      <c r="I96" s="97">
        <v>300</v>
      </c>
    </row>
    <row r="97" spans="1:11">
      <c r="A97" s="54" t="s">
        <v>121</v>
      </c>
      <c r="B97" s="54"/>
      <c r="C97" s="54"/>
      <c r="D97" s="54"/>
      <c r="E97" s="54"/>
      <c r="F97" s="54"/>
      <c r="G97" s="54"/>
      <c r="H97" s="54"/>
      <c r="I97" s="54"/>
    </row>
    <row r="98" spans="1:11">
      <c r="A98" s="95">
        <v>44957</v>
      </c>
      <c r="B98" s="96" t="s">
        <v>94</v>
      </c>
      <c r="C98" s="96" t="s">
        <v>11</v>
      </c>
      <c r="D98" s="96"/>
      <c r="E98" s="96"/>
      <c r="F98" s="96"/>
      <c r="G98" s="96"/>
      <c r="H98" s="97">
        <v>12000</v>
      </c>
      <c r="I98" s="97"/>
      <c r="K98">
        <v>28</v>
      </c>
    </row>
    <row r="99" spans="1:11">
      <c r="A99" s="96"/>
      <c r="B99" s="96" t="s">
        <v>18</v>
      </c>
      <c r="C99" s="96" t="s">
        <v>100</v>
      </c>
      <c r="D99" s="96"/>
      <c r="E99" s="96"/>
      <c r="F99" s="96"/>
      <c r="G99" s="96"/>
      <c r="H99" s="97"/>
      <c r="I99" s="97">
        <v>12000</v>
      </c>
    </row>
    <row r="100" spans="1:11">
      <c r="A100" s="54" t="s">
        <v>123</v>
      </c>
      <c r="B100" s="54"/>
      <c r="C100" s="54"/>
      <c r="D100" s="54"/>
      <c r="E100" s="54"/>
      <c r="F100" s="54"/>
      <c r="G100" s="54"/>
      <c r="H100" s="54"/>
      <c r="I100" s="54"/>
    </row>
    <row r="101" spans="1:11">
      <c r="A101" s="101">
        <v>11324</v>
      </c>
      <c r="B101" t="s">
        <v>94</v>
      </c>
      <c r="C101" t="s">
        <v>11</v>
      </c>
      <c r="I101" s="55">
        <v>4500</v>
      </c>
    </row>
    <row r="102" spans="1:11">
      <c r="B102" t="s">
        <v>29</v>
      </c>
      <c r="C102" t="s">
        <v>104</v>
      </c>
      <c r="H102" s="55">
        <v>4500</v>
      </c>
    </row>
    <row r="103" spans="1:11">
      <c r="A103" s="144" t="s">
        <v>235</v>
      </c>
      <c r="B103" s="145"/>
      <c r="C103" s="145"/>
      <c r="D103" s="145"/>
      <c r="E103" s="145"/>
      <c r="F103" s="145"/>
      <c r="G103" s="145"/>
      <c r="H103" s="145"/>
      <c r="I103" s="145"/>
    </row>
    <row r="104" spans="1:11">
      <c r="A104" s="101">
        <v>11324</v>
      </c>
      <c r="B104" t="s">
        <v>98</v>
      </c>
      <c r="C104" t="s">
        <v>231</v>
      </c>
      <c r="H104" s="55">
        <v>500</v>
      </c>
    </row>
    <row r="105" spans="1:11">
      <c r="B105" t="s">
        <v>233</v>
      </c>
      <c r="C105" t="s">
        <v>232</v>
      </c>
      <c r="I105" s="55">
        <v>500</v>
      </c>
    </row>
    <row r="107" spans="1:11">
      <c r="A107" s="71" t="s">
        <v>140</v>
      </c>
      <c r="B107" s="83" t="s">
        <v>141</v>
      </c>
      <c r="C107" s="83"/>
      <c r="D107" s="83"/>
      <c r="E107" s="83"/>
      <c r="F107" s="83"/>
      <c r="G107" s="83"/>
      <c r="H107" s="102"/>
      <c r="I107" s="102"/>
    </row>
    <row r="108" spans="1:11">
      <c r="A108" s="83"/>
      <c r="B108" s="83" t="s">
        <v>142</v>
      </c>
      <c r="C108" s="83"/>
      <c r="D108" s="83"/>
      <c r="E108" s="83"/>
      <c r="F108" s="83"/>
      <c r="G108" s="83"/>
      <c r="H108" s="102"/>
      <c r="I108" s="102"/>
    </row>
    <row r="110" spans="1:11" ht="23">
      <c r="A110" s="57" t="s">
        <v>115</v>
      </c>
      <c r="B110" s="58"/>
      <c r="C110" s="58"/>
      <c r="D110" s="58"/>
      <c r="E110" s="58"/>
      <c r="F110" s="58"/>
      <c r="G110" s="58"/>
      <c r="H110" s="58"/>
      <c r="I110" s="59"/>
    </row>
    <row r="111" spans="1:11" ht="23">
      <c r="A111" s="60"/>
      <c r="B111" s="61"/>
      <c r="C111" s="61"/>
      <c r="D111" s="61"/>
      <c r="E111" s="61"/>
      <c r="F111" s="61"/>
      <c r="G111" s="61"/>
      <c r="H111" s="61"/>
      <c r="I111" s="62"/>
    </row>
    <row r="112" spans="1:11">
      <c r="A112" s="54" t="s">
        <v>252</v>
      </c>
      <c r="B112" s="54"/>
      <c r="C112" s="54"/>
      <c r="D112" s="54"/>
      <c r="E112" s="54"/>
      <c r="F112" s="54"/>
      <c r="G112" s="54"/>
      <c r="H112" s="54"/>
      <c r="I112" s="54"/>
    </row>
    <row r="113" spans="1:11">
      <c r="A113" s="52">
        <v>44958</v>
      </c>
      <c r="B113" t="s">
        <v>10</v>
      </c>
      <c r="C113" t="s">
        <v>113</v>
      </c>
      <c r="H113" s="55">
        <v>300</v>
      </c>
      <c r="J113" t="s">
        <v>251</v>
      </c>
    </row>
    <row r="114" spans="1:11">
      <c r="B114" t="s">
        <v>10</v>
      </c>
      <c r="C114" t="s">
        <v>11</v>
      </c>
      <c r="I114" s="55">
        <v>300</v>
      </c>
      <c r="K114">
        <v>25</v>
      </c>
    </row>
    <row r="115" spans="1:11">
      <c r="A115" s="54" t="s">
        <v>96</v>
      </c>
      <c r="B115" s="54"/>
      <c r="C115" s="54"/>
      <c r="D115" s="54"/>
      <c r="E115" s="54"/>
      <c r="F115" s="54"/>
      <c r="G115" s="54"/>
      <c r="H115" s="54"/>
      <c r="I115" s="54"/>
    </row>
    <row r="116" spans="1:11">
      <c r="A116" s="52">
        <v>44927</v>
      </c>
      <c r="B116" t="s">
        <v>10</v>
      </c>
      <c r="C116" t="s">
        <v>97</v>
      </c>
      <c r="H116" s="55">
        <v>5700</v>
      </c>
    </row>
    <row r="117" spans="1:11">
      <c r="B117" t="s">
        <v>10</v>
      </c>
      <c r="C117" t="s">
        <v>11</v>
      </c>
      <c r="I117" s="55">
        <v>5700</v>
      </c>
    </row>
    <row r="118" spans="1:11">
      <c r="A118" s="54" t="s">
        <v>103</v>
      </c>
      <c r="B118" s="54"/>
      <c r="C118" s="54"/>
      <c r="D118" s="54"/>
      <c r="E118" s="54"/>
      <c r="F118" s="54"/>
      <c r="G118" s="54"/>
      <c r="H118" s="54"/>
      <c r="I118" s="54"/>
    </row>
    <row r="119" spans="1:11">
      <c r="A119" s="52">
        <v>44965</v>
      </c>
      <c r="B119" t="s">
        <v>10</v>
      </c>
      <c r="C119" s="52" t="s">
        <v>11</v>
      </c>
      <c r="H119" s="55">
        <v>7175</v>
      </c>
    </row>
    <row r="120" spans="1:11">
      <c r="B120" t="s">
        <v>18</v>
      </c>
      <c r="C120" t="s">
        <v>101</v>
      </c>
      <c r="I120" s="55">
        <v>3675</v>
      </c>
    </row>
    <row r="121" spans="1:11">
      <c r="B121" t="s">
        <v>18</v>
      </c>
      <c r="C121" t="s">
        <v>102</v>
      </c>
      <c r="I121" s="55">
        <v>3500</v>
      </c>
    </row>
    <row r="122" spans="1:11">
      <c r="A122" s="54" t="s">
        <v>116</v>
      </c>
      <c r="B122" s="54"/>
      <c r="C122" s="54"/>
      <c r="D122" s="54"/>
      <c r="E122" s="54"/>
      <c r="F122" s="54"/>
      <c r="G122" s="54"/>
      <c r="H122" s="54"/>
      <c r="I122" s="54"/>
    </row>
    <row r="123" spans="1:11">
      <c r="A123" s="52">
        <v>44965</v>
      </c>
      <c r="B123" t="s">
        <v>18</v>
      </c>
      <c r="C123" t="s">
        <v>108</v>
      </c>
      <c r="I123" s="55">
        <v>275</v>
      </c>
    </row>
    <row r="124" spans="1:11">
      <c r="B124" t="s">
        <v>10</v>
      </c>
      <c r="C124" t="s">
        <v>11</v>
      </c>
      <c r="H124" s="55">
        <v>275</v>
      </c>
    </row>
    <row r="125" spans="1:11">
      <c r="A125" s="64" t="s">
        <v>214</v>
      </c>
      <c r="B125" s="64"/>
      <c r="C125" s="64"/>
      <c r="D125" s="64"/>
      <c r="E125" s="64"/>
      <c r="F125" s="64"/>
      <c r="G125" s="64"/>
      <c r="H125" s="64"/>
      <c r="I125" s="64"/>
    </row>
    <row r="126" spans="1:11">
      <c r="A126" s="52">
        <v>44965</v>
      </c>
      <c r="B126" s="52" t="s">
        <v>136</v>
      </c>
      <c r="C126" t="s">
        <v>138</v>
      </c>
      <c r="D126" s="96"/>
      <c r="E126" s="96"/>
      <c r="F126" s="96"/>
      <c r="G126" s="96"/>
      <c r="H126" s="97"/>
      <c r="I126" s="97">
        <v>100</v>
      </c>
    </row>
    <row r="127" spans="1:11">
      <c r="B127" t="s">
        <v>137</v>
      </c>
      <c r="C127" t="s">
        <v>139</v>
      </c>
      <c r="I127" s="55">
        <v>10</v>
      </c>
    </row>
    <row r="128" spans="1:11">
      <c r="B128" t="s">
        <v>10</v>
      </c>
      <c r="C128" t="s">
        <v>11</v>
      </c>
      <c r="H128" s="55">
        <v>110</v>
      </c>
    </row>
    <row r="129" spans="1:9">
      <c r="A129" s="54" t="s">
        <v>103</v>
      </c>
      <c r="B129" s="54"/>
      <c r="C129" s="54"/>
      <c r="D129" s="54"/>
      <c r="E129" s="54"/>
      <c r="F129" s="54"/>
      <c r="G129" s="54"/>
      <c r="H129" s="54"/>
      <c r="I129" s="54"/>
    </row>
    <row r="130" spans="1:9">
      <c r="A130" s="52">
        <v>44972</v>
      </c>
      <c r="B130" t="s">
        <v>10</v>
      </c>
      <c r="C130" s="52" t="s">
        <v>11</v>
      </c>
      <c r="H130" s="55">
        <v>7175</v>
      </c>
    </row>
    <row r="131" spans="1:9">
      <c r="B131" t="s">
        <v>18</v>
      </c>
      <c r="C131" t="s">
        <v>101</v>
      </c>
      <c r="I131" s="55">
        <v>3675</v>
      </c>
    </row>
    <row r="132" spans="1:9">
      <c r="B132" t="s">
        <v>18</v>
      </c>
      <c r="C132" t="s">
        <v>102</v>
      </c>
      <c r="I132" s="55">
        <v>3500</v>
      </c>
    </row>
    <row r="133" spans="1:9">
      <c r="A133" s="54" t="s">
        <v>116</v>
      </c>
      <c r="B133" s="54"/>
      <c r="C133" s="54"/>
      <c r="D133" s="54"/>
      <c r="E133" s="54"/>
      <c r="F133" s="54"/>
      <c r="G133" s="54"/>
      <c r="H133" s="54"/>
      <c r="I133" s="54"/>
    </row>
    <row r="134" spans="1:9">
      <c r="A134" s="52">
        <v>44972</v>
      </c>
      <c r="B134" t="s">
        <v>18</v>
      </c>
      <c r="C134" t="s">
        <v>108</v>
      </c>
      <c r="I134" s="55">
        <v>275</v>
      </c>
    </row>
    <row r="135" spans="1:9">
      <c r="B135" t="s">
        <v>10</v>
      </c>
      <c r="C135" t="s">
        <v>11</v>
      </c>
      <c r="H135" s="55">
        <v>275</v>
      </c>
    </row>
    <row r="136" spans="1:9">
      <c r="A136" s="64" t="s">
        <v>214</v>
      </c>
      <c r="B136" s="64"/>
      <c r="C136" s="64"/>
      <c r="D136" s="64"/>
      <c r="E136" s="64"/>
      <c r="F136" s="64"/>
      <c r="G136" s="64"/>
      <c r="H136" s="64"/>
      <c r="I136" s="64"/>
    </row>
    <row r="137" spans="1:9">
      <c r="A137" s="52">
        <v>44972</v>
      </c>
      <c r="B137" s="52" t="s">
        <v>136</v>
      </c>
      <c r="C137" t="s">
        <v>138</v>
      </c>
      <c r="D137" s="96"/>
      <c r="E137" s="96"/>
      <c r="F137" s="96"/>
      <c r="G137" s="96"/>
      <c r="H137" s="97"/>
      <c r="I137" s="97">
        <v>100</v>
      </c>
    </row>
    <row r="138" spans="1:9">
      <c r="B138" t="s">
        <v>137</v>
      </c>
      <c r="C138" t="s">
        <v>139</v>
      </c>
      <c r="I138" s="55">
        <v>10</v>
      </c>
    </row>
    <row r="139" spans="1:9">
      <c r="B139" t="s">
        <v>10</v>
      </c>
      <c r="C139" t="s">
        <v>11</v>
      </c>
      <c r="H139" s="55">
        <v>110</v>
      </c>
    </row>
    <row r="140" spans="1:9">
      <c r="A140" s="54" t="s">
        <v>103</v>
      </c>
      <c r="B140" s="54"/>
      <c r="C140" s="54"/>
      <c r="D140" s="54"/>
      <c r="E140" s="54"/>
      <c r="F140" s="54"/>
      <c r="G140" s="54"/>
      <c r="H140" s="54"/>
      <c r="I140" s="54"/>
    </row>
    <row r="141" spans="1:9">
      <c r="A141" s="52">
        <v>44979</v>
      </c>
      <c r="B141" t="s">
        <v>10</v>
      </c>
      <c r="C141" s="52" t="s">
        <v>11</v>
      </c>
      <c r="H141" s="55">
        <v>7175</v>
      </c>
    </row>
    <row r="142" spans="1:9">
      <c r="B142" t="s">
        <v>18</v>
      </c>
      <c r="C142" t="s">
        <v>101</v>
      </c>
      <c r="I142" s="55">
        <v>3675</v>
      </c>
    </row>
    <row r="143" spans="1:9">
      <c r="B143" t="s">
        <v>18</v>
      </c>
      <c r="C143" t="s">
        <v>102</v>
      </c>
      <c r="I143" s="55">
        <v>3500</v>
      </c>
    </row>
    <row r="144" spans="1:9">
      <c r="A144" s="54" t="s">
        <v>116</v>
      </c>
      <c r="B144" s="54"/>
      <c r="C144" s="54"/>
      <c r="D144" s="54"/>
      <c r="E144" s="54"/>
      <c r="F144" s="54"/>
      <c r="G144" s="54"/>
      <c r="H144" s="54"/>
      <c r="I144" s="54"/>
    </row>
    <row r="145" spans="1:9">
      <c r="A145" s="52">
        <v>44979</v>
      </c>
      <c r="B145" t="s">
        <v>18</v>
      </c>
      <c r="C145" t="s">
        <v>108</v>
      </c>
      <c r="I145" s="55">
        <v>275</v>
      </c>
    </row>
    <row r="146" spans="1:9">
      <c r="B146" t="s">
        <v>10</v>
      </c>
      <c r="C146" t="s">
        <v>11</v>
      </c>
      <c r="H146" s="55">
        <v>275</v>
      </c>
    </row>
    <row r="147" spans="1:9">
      <c r="A147" s="64" t="s">
        <v>143</v>
      </c>
      <c r="B147" s="64"/>
      <c r="C147" s="64"/>
      <c r="D147" s="64"/>
      <c r="E147" s="64"/>
      <c r="F147" s="64"/>
      <c r="G147" s="64"/>
      <c r="H147" s="64"/>
      <c r="I147" s="64"/>
    </row>
    <row r="148" spans="1:9">
      <c r="A148" s="52">
        <v>44979</v>
      </c>
      <c r="B148" s="52" t="s">
        <v>136</v>
      </c>
      <c r="C148" t="s">
        <v>138</v>
      </c>
      <c r="D148" s="96"/>
      <c r="E148" s="96"/>
      <c r="F148" s="96"/>
      <c r="G148" s="96"/>
      <c r="H148" s="97"/>
      <c r="I148" s="97">
        <v>100</v>
      </c>
    </row>
    <row r="149" spans="1:9">
      <c r="B149" t="s">
        <v>137</v>
      </c>
      <c r="C149" t="s">
        <v>139</v>
      </c>
      <c r="I149" s="55">
        <v>50</v>
      </c>
    </row>
    <row r="150" spans="1:9">
      <c r="B150" t="s">
        <v>10</v>
      </c>
      <c r="C150" t="s">
        <v>11</v>
      </c>
      <c r="H150" s="55">
        <v>150</v>
      </c>
    </row>
    <row r="151" spans="1:9">
      <c r="A151" s="54" t="s">
        <v>126</v>
      </c>
      <c r="B151" s="54"/>
      <c r="C151" s="54"/>
      <c r="D151" s="54"/>
      <c r="E151" s="54"/>
      <c r="F151" s="54"/>
      <c r="G151" s="54"/>
      <c r="H151" s="54"/>
      <c r="I151" s="54"/>
    </row>
    <row r="152" spans="1:9">
      <c r="A152" s="52">
        <v>44985</v>
      </c>
      <c r="B152" t="s">
        <v>10</v>
      </c>
      <c r="C152" s="52" t="s">
        <v>11</v>
      </c>
      <c r="H152" s="55">
        <v>7175</v>
      </c>
    </row>
    <row r="153" spans="1:9">
      <c r="B153" t="s">
        <v>18</v>
      </c>
      <c r="C153" t="s">
        <v>101</v>
      </c>
      <c r="I153" s="55">
        <v>3675</v>
      </c>
    </row>
    <row r="154" spans="1:9">
      <c r="B154" t="s">
        <v>18</v>
      </c>
      <c r="C154" t="s">
        <v>102</v>
      </c>
      <c r="I154" s="55">
        <v>3500</v>
      </c>
    </row>
    <row r="155" spans="1:9">
      <c r="A155" s="54" t="s">
        <v>116</v>
      </c>
      <c r="B155" s="54"/>
      <c r="C155" s="54"/>
      <c r="D155" s="54"/>
      <c r="E155" s="54"/>
      <c r="F155" s="54"/>
      <c r="G155" s="54"/>
      <c r="H155" s="54"/>
      <c r="I155" s="54"/>
    </row>
    <row r="156" spans="1:9">
      <c r="A156" s="52">
        <v>44985</v>
      </c>
      <c r="B156" t="s">
        <v>18</v>
      </c>
      <c r="C156" t="s">
        <v>108</v>
      </c>
      <c r="I156" s="55">
        <v>275</v>
      </c>
    </row>
    <row r="157" spans="1:9">
      <c r="B157" t="s">
        <v>10</v>
      </c>
      <c r="C157" t="s">
        <v>11</v>
      </c>
      <c r="H157" s="55">
        <v>275</v>
      </c>
    </row>
    <row r="158" spans="1:9">
      <c r="A158" s="54" t="s">
        <v>109</v>
      </c>
      <c r="B158" s="54"/>
      <c r="C158" s="54"/>
      <c r="D158" s="54"/>
      <c r="E158" s="54"/>
      <c r="F158" s="54"/>
      <c r="G158" s="54"/>
      <c r="H158" s="54"/>
      <c r="I158" s="54"/>
    </row>
    <row r="159" spans="1:9">
      <c r="A159" s="52">
        <v>44985</v>
      </c>
      <c r="B159" t="s">
        <v>99</v>
      </c>
      <c r="C159" t="s">
        <v>111</v>
      </c>
      <c r="I159" s="55">
        <v>5700</v>
      </c>
    </row>
    <row r="160" spans="1:9">
      <c r="A160" s="52"/>
      <c r="B160" t="s">
        <v>98</v>
      </c>
      <c r="C160" t="s">
        <v>86</v>
      </c>
      <c r="H160" s="55">
        <v>5700</v>
      </c>
    </row>
    <row r="161" spans="1:11">
      <c r="A161" s="54" t="s">
        <v>117</v>
      </c>
      <c r="B161" s="54"/>
      <c r="C161" s="54"/>
      <c r="D161" s="54"/>
      <c r="E161" s="54"/>
      <c r="F161" s="54"/>
      <c r="G161" s="54"/>
      <c r="H161" s="54"/>
      <c r="I161" s="54"/>
      <c r="K161" t="s">
        <v>255</v>
      </c>
    </row>
    <row r="162" spans="1:11">
      <c r="A162" s="52">
        <v>44985</v>
      </c>
      <c r="B162" t="s">
        <v>87</v>
      </c>
      <c r="C162" t="s">
        <v>11</v>
      </c>
      <c r="I162" s="55">
        <v>5100</v>
      </c>
    </row>
    <row r="163" spans="1:11">
      <c r="B163" t="s">
        <v>29</v>
      </c>
      <c r="C163" t="s">
        <v>91</v>
      </c>
      <c r="H163" s="55">
        <v>5100</v>
      </c>
    </row>
    <row r="164" spans="1:11">
      <c r="A164" s="54" t="s">
        <v>118</v>
      </c>
      <c r="B164" s="54"/>
      <c r="C164" s="54"/>
      <c r="D164" s="54"/>
      <c r="E164" s="54"/>
      <c r="F164" s="54"/>
      <c r="G164" s="54"/>
      <c r="H164" s="54"/>
      <c r="I164" s="54"/>
    </row>
    <row r="165" spans="1:11">
      <c r="A165" s="52">
        <v>44985</v>
      </c>
      <c r="B165" t="s">
        <v>87</v>
      </c>
      <c r="C165" t="s">
        <v>11</v>
      </c>
      <c r="I165" s="55">
        <v>2600</v>
      </c>
    </row>
    <row r="166" spans="1:11">
      <c r="B166" t="s">
        <v>29</v>
      </c>
      <c r="C166" t="s">
        <v>91</v>
      </c>
      <c r="H166" s="55">
        <v>2600</v>
      </c>
    </row>
    <row r="167" spans="1:11">
      <c r="A167" s="54" t="s">
        <v>119</v>
      </c>
      <c r="B167" s="54"/>
      <c r="C167" s="54"/>
      <c r="D167" s="54"/>
      <c r="E167" s="54"/>
      <c r="F167" s="54"/>
      <c r="G167" s="54"/>
      <c r="H167" s="54"/>
      <c r="I167" s="54"/>
    </row>
    <row r="168" spans="1:11">
      <c r="A168" s="52">
        <v>44985</v>
      </c>
      <c r="B168" t="s">
        <v>87</v>
      </c>
      <c r="C168" t="s">
        <v>11</v>
      </c>
      <c r="I168" s="55">
        <v>6000</v>
      </c>
    </row>
    <row r="169" spans="1:11">
      <c r="A169" s="52"/>
      <c r="B169" t="s">
        <v>29</v>
      </c>
      <c r="C169" t="s">
        <v>91</v>
      </c>
      <c r="H169" s="55">
        <v>6000</v>
      </c>
    </row>
    <row r="170" spans="1:11">
      <c r="A170" s="54" t="s">
        <v>120</v>
      </c>
      <c r="B170" s="54"/>
      <c r="C170" s="54"/>
      <c r="D170" s="54"/>
      <c r="E170" s="54"/>
      <c r="F170" s="54"/>
      <c r="G170" s="54"/>
      <c r="H170" s="54"/>
      <c r="I170" s="54"/>
    </row>
    <row r="171" spans="1:11">
      <c r="A171" s="52">
        <v>44985</v>
      </c>
      <c r="B171" t="s">
        <v>94</v>
      </c>
      <c r="C171" t="s">
        <v>11</v>
      </c>
      <c r="H171" s="55">
        <v>16200</v>
      </c>
    </row>
    <row r="172" spans="1:11">
      <c r="B172" t="s">
        <v>18</v>
      </c>
      <c r="C172" t="s">
        <v>95</v>
      </c>
      <c r="I172" s="55">
        <v>16200</v>
      </c>
    </row>
    <row r="173" spans="1:11">
      <c r="A173" s="54" t="s">
        <v>110</v>
      </c>
      <c r="B173" s="54"/>
      <c r="C173" s="54"/>
      <c r="D173" s="54"/>
      <c r="E173" s="54"/>
      <c r="F173" s="54"/>
      <c r="G173" s="54"/>
      <c r="H173" s="54"/>
      <c r="I173" s="54"/>
    </row>
    <row r="174" spans="1:11">
      <c r="A174" s="52">
        <v>44985</v>
      </c>
      <c r="B174" t="s">
        <v>87</v>
      </c>
      <c r="C174" t="s">
        <v>11</v>
      </c>
      <c r="H174" s="55">
        <v>300</v>
      </c>
    </row>
    <row r="175" spans="1:11">
      <c r="A175" s="52"/>
      <c r="B175" t="s">
        <v>18</v>
      </c>
      <c r="C175" t="s">
        <v>88</v>
      </c>
      <c r="I175" s="55">
        <v>300</v>
      </c>
    </row>
    <row r="176" spans="1:11">
      <c r="A176" s="54" t="s">
        <v>124</v>
      </c>
      <c r="B176" s="54"/>
      <c r="C176" s="54"/>
      <c r="D176" s="54"/>
      <c r="E176" s="54"/>
      <c r="F176" s="54"/>
      <c r="G176" s="54"/>
      <c r="H176" s="54"/>
      <c r="I176" s="54"/>
    </row>
    <row r="177" spans="1:9">
      <c r="A177" s="52">
        <v>44985</v>
      </c>
      <c r="B177" t="s">
        <v>94</v>
      </c>
      <c r="C177" t="s">
        <v>11</v>
      </c>
      <c r="H177" s="55">
        <v>15000</v>
      </c>
    </row>
    <row r="178" spans="1:9">
      <c r="B178" t="s">
        <v>18</v>
      </c>
      <c r="C178" t="s">
        <v>100</v>
      </c>
      <c r="I178" s="55">
        <v>15000</v>
      </c>
    </row>
    <row r="179" spans="1:9">
      <c r="A179" s="54" t="s">
        <v>122</v>
      </c>
      <c r="B179" s="54"/>
      <c r="C179" s="54"/>
      <c r="D179" s="54"/>
      <c r="E179" s="54"/>
      <c r="F179" s="54"/>
      <c r="G179" s="54"/>
      <c r="H179" s="54"/>
      <c r="I179" s="54"/>
    </row>
    <row r="180" spans="1:9">
      <c r="A180" s="52">
        <v>44985</v>
      </c>
      <c r="B180" t="s">
        <v>94</v>
      </c>
      <c r="C180" t="s">
        <v>11</v>
      </c>
      <c r="H180" s="55">
        <v>0</v>
      </c>
    </row>
    <row r="181" spans="1:9">
      <c r="B181" t="s">
        <v>29</v>
      </c>
      <c r="C181" t="s">
        <v>104</v>
      </c>
      <c r="I181" s="55">
        <v>0</v>
      </c>
    </row>
    <row r="182" spans="1:9">
      <c r="A182" s="64" t="s">
        <v>221</v>
      </c>
      <c r="B182" s="64"/>
      <c r="C182" s="64"/>
      <c r="D182" s="64"/>
      <c r="E182" s="64"/>
      <c r="F182" s="64"/>
      <c r="G182" s="64"/>
      <c r="H182" s="64"/>
      <c r="I182" s="64"/>
    </row>
    <row r="183" spans="1:9">
      <c r="A183" s="52">
        <v>44985</v>
      </c>
      <c r="B183" s="52" t="s">
        <v>136</v>
      </c>
      <c r="C183" t="s">
        <v>138</v>
      </c>
      <c r="D183" s="96"/>
      <c r="E183" s="96"/>
      <c r="F183" s="96"/>
      <c r="G183" s="96"/>
      <c r="H183" s="97"/>
      <c r="I183" s="97">
        <v>50</v>
      </c>
    </row>
    <row r="184" spans="1:9">
      <c r="B184" t="s">
        <v>137</v>
      </c>
      <c r="C184" t="s">
        <v>139</v>
      </c>
      <c r="I184" s="55">
        <v>30</v>
      </c>
    </row>
    <row r="185" spans="1:9">
      <c r="B185" t="s">
        <v>10</v>
      </c>
      <c r="C185" t="s">
        <v>11</v>
      </c>
      <c r="H185" s="55">
        <v>80</v>
      </c>
    </row>
    <row r="186" spans="1:9">
      <c r="A186" s="64" t="s">
        <v>226</v>
      </c>
      <c r="B186" s="64"/>
      <c r="C186" s="64"/>
      <c r="D186" s="64"/>
      <c r="E186" s="64"/>
      <c r="F186" s="64"/>
      <c r="G186" s="64"/>
      <c r="H186" s="64"/>
      <c r="I186" s="64"/>
    </row>
    <row r="187" spans="1:9">
      <c r="A187" s="52">
        <v>44985</v>
      </c>
      <c r="B187" t="s">
        <v>145</v>
      </c>
      <c r="C187" t="s">
        <v>149</v>
      </c>
      <c r="H187" s="55">
        <v>1555</v>
      </c>
    </row>
    <row r="188" spans="1:9">
      <c r="B188" t="s">
        <v>94</v>
      </c>
      <c r="C188" t="s">
        <v>146</v>
      </c>
      <c r="I188" s="55">
        <v>1555</v>
      </c>
    </row>
    <row r="189" spans="1:9">
      <c r="B189" t="s">
        <v>145</v>
      </c>
      <c r="C189" t="s">
        <v>151</v>
      </c>
      <c r="H189" s="55">
        <v>515</v>
      </c>
    </row>
    <row r="190" spans="1:9">
      <c r="B190" t="s">
        <v>94</v>
      </c>
      <c r="C190" t="s">
        <v>146</v>
      </c>
      <c r="I190" s="55">
        <v>515</v>
      </c>
    </row>
    <row r="191" spans="1:9">
      <c r="B191" t="s">
        <v>145</v>
      </c>
      <c r="C191" t="s">
        <v>153</v>
      </c>
      <c r="H191" s="55">
        <v>300</v>
      </c>
    </row>
    <row r="192" spans="1:9">
      <c r="B192" t="s">
        <v>94</v>
      </c>
      <c r="C192" t="s">
        <v>146</v>
      </c>
      <c r="I192" s="55">
        <v>300</v>
      </c>
    </row>
    <row r="193" spans="1:9">
      <c r="A193" s="144" t="s">
        <v>235</v>
      </c>
      <c r="B193" s="145"/>
      <c r="C193" s="145"/>
      <c r="D193" s="145"/>
      <c r="E193" s="145"/>
      <c r="F193" s="145"/>
      <c r="G193" s="145"/>
      <c r="H193" s="145"/>
      <c r="I193" s="145"/>
    </row>
    <row r="194" spans="1:9">
      <c r="A194" s="101">
        <v>44958</v>
      </c>
      <c r="B194" t="s">
        <v>98</v>
      </c>
      <c r="C194" t="s">
        <v>231</v>
      </c>
      <c r="H194" s="55">
        <v>500</v>
      </c>
    </row>
    <row r="195" spans="1:9">
      <c r="B195" t="s">
        <v>233</v>
      </c>
      <c r="C195" t="s">
        <v>232</v>
      </c>
      <c r="I195" s="55">
        <v>500</v>
      </c>
    </row>
    <row r="196" spans="1:9">
      <c r="A196" s="71" t="s">
        <v>140</v>
      </c>
      <c r="B196" s="83" t="s">
        <v>144</v>
      </c>
      <c r="C196" s="83"/>
      <c r="D196" s="83"/>
      <c r="E196" s="83"/>
      <c r="F196" s="83"/>
      <c r="G196" s="83"/>
      <c r="H196" s="102"/>
      <c r="I196" s="102"/>
    </row>
    <row r="197" spans="1:9">
      <c r="A197" s="83"/>
      <c r="B197" s="83" t="s">
        <v>227</v>
      </c>
      <c r="C197" s="83"/>
      <c r="D197" s="83"/>
      <c r="E197" s="83"/>
      <c r="F197" s="83"/>
      <c r="G197" s="83"/>
      <c r="H197" s="102"/>
      <c r="I197" s="102"/>
    </row>
  </sheetData>
  <mergeCells count="13">
    <mergeCell ref="A103:I103"/>
    <mergeCell ref="A193:I193"/>
    <mergeCell ref="A19:I19"/>
    <mergeCell ref="A16:I16"/>
    <mergeCell ref="N1:O1"/>
    <mergeCell ref="G1:I2"/>
    <mergeCell ref="K1:L1"/>
    <mergeCell ref="A7:I7"/>
    <mergeCell ref="A10:I10"/>
    <mergeCell ref="C1:F1"/>
    <mergeCell ref="B2:F2"/>
    <mergeCell ref="A5:I5"/>
    <mergeCell ref="E6:G6"/>
  </mergeCells>
  <phoneticPr fontId="21" type="noConversion"/>
  <dataValidations count="2">
    <dataValidation type="list" allowBlank="1" showInputMessage="1" showErrorMessage="1" sqref="B8:B9 B11:B12 B14:B16 B22 B25 B292:B392 B118:B125 B129:B136 B140:B147 B110:B117 B28:B39 B43:B53 B57:B64 B68:B75 B186 B79:B102 B151:B182 B19" xr:uid="{030EA10C-7F51-4443-81FF-AFFE6BEF955A}">
      <formula1>$V$2:$V$6</formula1>
    </dataValidation>
    <dataValidation type="list" allowBlank="1" showInputMessage="1" showErrorMessage="1" sqref="C292:C687 C118:C125 C110:C117 C140:C147 C129:C136 C28:C39 C43:C53 C57:C64 C68:C75 C186 C79:C102 C151:C182" xr:uid="{20B0B649-A520-A246-B620-8E4DA25A8875}">
      <formula1>$X$6:$X$66</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800C-1941-4487-A6D0-10334D2F4882}">
  <dimension ref="A3:AN71"/>
  <sheetViews>
    <sheetView tabSelected="1" topLeftCell="U4" zoomScale="90" workbookViewId="0">
      <selection activeCell="AK18" sqref="AK18"/>
    </sheetView>
  </sheetViews>
  <sheetFormatPr baseColWidth="10" defaultColWidth="8.7109375" defaultRowHeight="17"/>
  <cols>
    <col min="2" max="2" width="9.7109375" bestFit="1" customWidth="1"/>
    <col min="8" max="10" width="8.7109375" bestFit="1" customWidth="1"/>
    <col min="15" max="15" width="9.7109375" bestFit="1" customWidth="1"/>
    <col min="16" max="18" width="8.7109375" bestFit="1" customWidth="1"/>
    <col min="20" max="24" width="8.7109375" bestFit="1" customWidth="1"/>
    <col min="30" max="30" width="9.7109375" bestFit="1" customWidth="1"/>
    <col min="31" max="33" width="8.7109375" bestFit="1" customWidth="1"/>
  </cols>
  <sheetData>
    <row r="3" spans="2:40" ht="20.25" customHeight="1">
      <c r="B3" s="71"/>
      <c r="C3" s="71"/>
      <c r="D3" s="85" t="s">
        <v>213</v>
      </c>
      <c r="E3" s="71"/>
      <c r="F3" s="71"/>
      <c r="G3" s="71"/>
      <c r="H3" s="71"/>
      <c r="I3" s="71"/>
      <c r="J3" s="71"/>
      <c r="O3" s="71"/>
      <c r="P3" s="71"/>
      <c r="Q3" s="85" t="s">
        <v>250</v>
      </c>
      <c r="R3" s="71"/>
      <c r="S3" s="71"/>
      <c r="T3" s="71"/>
      <c r="U3" s="71"/>
      <c r="V3" s="71"/>
      <c r="W3" s="71"/>
      <c r="AD3" s="156" t="s">
        <v>204</v>
      </c>
      <c r="AE3" s="156"/>
      <c r="AF3" s="156"/>
      <c r="AG3" s="156"/>
      <c r="AH3" s="156"/>
      <c r="AI3" s="156"/>
      <c r="AJ3" s="156"/>
      <c r="AK3" s="156"/>
    </row>
    <row r="4" spans="2:40">
      <c r="AD4" s="86"/>
      <c r="AE4" s="86"/>
      <c r="AF4" s="86"/>
      <c r="AG4" s="86"/>
      <c r="AH4" s="86"/>
      <c r="AI4" s="86"/>
      <c r="AJ4" s="86"/>
      <c r="AK4" s="86"/>
    </row>
    <row r="5" spans="2:40">
      <c r="C5" t="s">
        <v>25</v>
      </c>
      <c r="E5" t="s">
        <v>178</v>
      </c>
      <c r="G5" s="1" t="s">
        <v>179</v>
      </c>
      <c r="I5" t="s">
        <v>180</v>
      </c>
      <c r="P5" t="s">
        <v>25</v>
      </c>
      <c r="R5" t="s">
        <v>178</v>
      </c>
      <c r="T5" s="1" t="s">
        <v>179</v>
      </c>
      <c r="V5" t="s">
        <v>180</v>
      </c>
      <c r="AD5" s="86"/>
      <c r="AE5" s="86" t="s">
        <v>25</v>
      </c>
      <c r="AF5" s="86"/>
      <c r="AG5" s="86" t="s">
        <v>178</v>
      </c>
      <c r="AH5" s="86"/>
      <c r="AI5" s="91" t="s">
        <v>179</v>
      </c>
      <c r="AJ5" s="86"/>
      <c r="AK5" s="86" t="s">
        <v>180</v>
      </c>
    </row>
    <row r="6" spans="2:40">
      <c r="AD6" s="86"/>
      <c r="AE6" s="86"/>
      <c r="AF6" s="86"/>
      <c r="AG6" s="86"/>
      <c r="AH6" s="86"/>
      <c r="AI6" s="86"/>
      <c r="AJ6" s="86"/>
      <c r="AK6" s="86"/>
    </row>
    <row r="7" spans="2:40">
      <c r="B7" t="s">
        <v>181</v>
      </c>
      <c r="E7">
        <v>0</v>
      </c>
      <c r="G7">
        <v>0</v>
      </c>
      <c r="I7" s="68">
        <v>0</v>
      </c>
      <c r="O7" t="s">
        <v>181</v>
      </c>
      <c r="R7">
        <v>0</v>
      </c>
      <c r="T7">
        <v>0</v>
      </c>
      <c r="V7" s="68">
        <v>0</v>
      </c>
      <c r="AD7" s="86" t="s">
        <v>181</v>
      </c>
      <c r="AE7" s="86"/>
      <c r="AF7" s="86"/>
      <c r="AG7" s="86">
        <v>0</v>
      </c>
      <c r="AH7" s="86"/>
      <c r="AI7" s="86">
        <v>0</v>
      </c>
      <c r="AJ7" s="86"/>
      <c r="AK7" s="88">
        <v>0</v>
      </c>
    </row>
    <row r="8" spans="2:40">
      <c r="AD8" s="86"/>
      <c r="AE8" s="86"/>
      <c r="AF8" s="86"/>
      <c r="AG8" s="86"/>
      <c r="AH8" s="86"/>
      <c r="AI8" s="86"/>
      <c r="AJ8" s="86"/>
      <c r="AK8" s="86"/>
    </row>
    <row r="9" spans="2:40">
      <c r="B9" t="s">
        <v>182</v>
      </c>
      <c r="O9" t="s">
        <v>182</v>
      </c>
      <c r="AD9" s="86" t="s">
        <v>182</v>
      </c>
      <c r="AE9" s="86"/>
      <c r="AF9" s="86"/>
      <c r="AG9" s="86"/>
      <c r="AH9" s="86"/>
      <c r="AI9" s="86"/>
      <c r="AJ9" s="86"/>
      <c r="AK9" s="86"/>
    </row>
    <row r="10" spans="2:40">
      <c r="C10" s="52">
        <v>44927</v>
      </c>
      <c r="E10">
        <v>50</v>
      </c>
      <c r="G10">
        <v>5</v>
      </c>
      <c r="I10" s="68">
        <v>250</v>
      </c>
      <c r="P10" s="52">
        <v>44927</v>
      </c>
      <c r="R10">
        <v>20</v>
      </c>
      <c r="T10">
        <v>35</v>
      </c>
      <c r="V10">
        <f>T10*R10</f>
        <v>700</v>
      </c>
      <c r="AD10" s="86"/>
      <c r="AE10" s="92">
        <v>44927</v>
      </c>
      <c r="AF10" s="86"/>
      <c r="AG10" s="86">
        <v>100</v>
      </c>
      <c r="AH10" s="86"/>
      <c r="AI10" s="86">
        <v>3</v>
      </c>
      <c r="AJ10" s="86"/>
      <c r="AK10" s="86">
        <f>AI10*AG10</f>
        <v>300</v>
      </c>
    </row>
    <row r="11" spans="2:40">
      <c r="AD11" s="86"/>
      <c r="AE11" s="86"/>
      <c r="AF11" s="86"/>
      <c r="AG11" s="86"/>
      <c r="AH11" s="86"/>
      <c r="AI11" s="86"/>
      <c r="AJ11" s="86"/>
      <c r="AK11" s="86"/>
    </row>
    <row r="12" spans="2:40">
      <c r="C12" s="52">
        <v>44941</v>
      </c>
      <c r="E12">
        <v>70</v>
      </c>
      <c r="G12">
        <v>4.5</v>
      </c>
      <c r="I12" s="68">
        <v>315</v>
      </c>
      <c r="J12" s="139">
        <v>4.71</v>
      </c>
      <c r="P12" s="52">
        <v>44941</v>
      </c>
      <c r="R12">
        <v>30</v>
      </c>
      <c r="T12">
        <v>32</v>
      </c>
      <c r="V12">
        <v>960</v>
      </c>
      <c r="AD12" s="86"/>
      <c r="AE12" s="92">
        <v>44593</v>
      </c>
      <c r="AF12" s="86"/>
      <c r="AG12" s="86">
        <v>100</v>
      </c>
      <c r="AH12" s="86"/>
      <c r="AI12" s="86">
        <v>3</v>
      </c>
      <c r="AJ12" s="86"/>
      <c r="AK12" s="86">
        <v>300</v>
      </c>
    </row>
    <row r="13" spans="2:40">
      <c r="J13" s="139"/>
      <c r="AD13" s="86"/>
      <c r="AE13" s="86"/>
      <c r="AF13" s="86"/>
      <c r="AG13" s="86"/>
      <c r="AH13" s="86"/>
      <c r="AI13" s="86"/>
      <c r="AJ13" s="86"/>
      <c r="AK13" s="86"/>
    </row>
    <row r="14" spans="2:40">
      <c r="B14" t="s">
        <v>183</v>
      </c>
      <c r="E14">
        <v>120</v>
      </c>
      <c r="I14" s="68">
        <v>565</v>
      </c>
      <c r="J14" s="139" t="s">
        <v>186</v>
      </c>
      <c r="O14" t="s">
        <v>183</v>
      </c>
      <c r="R14">
        <v>50</v>
      </c>
      <c r="V14">
        <f>V12+V10</f>
        <v>1660</v>
      </c>
      <c r="W14" s="139">
        <f>V14/R14</f>
        <v>33.200000000000003</v>
      </c>
      <c r="X14" t="s">
        <v>189</v>
      </c>
      <c r="AD14" s="86" t="s">
        <v>183</v>
      </c>
      <c r="AE14" s="86"/>
      <c r="AF14" s="86"/>
      <c r="AG14" s="86">
        <v>200</v>
      </c>
      <c r="AH14" s="86"/>
      <c r="AI14" s="86"/>
      <c r="AJ14" s="86"/>
      <c r="AK14" s="86">
        <f>AK12+AK10</f>
        <v>600</v>
      </c>
      <c r="AM14">
        <f>AK14/AG14</f>
        <v>3</v>
      </c>
      <c r="AN14" t="s">
        <v>206</v>
      </c>
    </row>
    <row r="15" spans="2:40">
      <c r="J15" s="139"/>
      <c r="W15" s="139"/>
      <c r="AD15" s="86"/>
      <c r="AE15" s="86"/>
      <c r="AF15" s="86"/>
      <c r="AG15" s="86"/>
      <c r="AH15" s="86"/>
      <c r="AI15" s="86"/>
      <c r="AJ15" s="86"/>
      <c r="AK15" s="86"/>
    </row>
    <row r="16" spans="2:40">
      <c r="B16" t="s">
        <v>184</v>
      </c>
      <c r="E16">
        <v>10</v>
      </c>
      <c r="I16" s="82">
        <f>E16*J12</f>
        <v>47.1</v>
      </c>
      <c r="J16" s="139" t="s">
        <v>215</v>
      </c>
      <c r="O16" t="s">
        <v>184</v>
      </c>
      <c r="R16">
        <v>3</v>
      </c>
      <c r="V16">
        <f>W14*R16</f>
        <v>99.600000000000009</v>
      </c>
      <c r="W16" s="139" t="s">
        <v>190</v>
      </c>
      <c r="AD16" s="86" t="s">
        <v>184</v>
      </c>
      <c r="AE16" s="86"/>
      <c r="AF16" s="86"/>
      <c r="AG16" s="86">
        <v>0</v>
      </c>
      <c r="AH16" s="86"/>
      <c r="AI16" s="86"/>
      <c r="AJ16" s="86"/>
      <c r="AK16" s="86">
        <v>100</v>
      </c>
      <c r="AM16" t="s">
        <v>210</v>
      </c>
    </row>
    <row r="17" spans="1:39">
      <c r="J17" s="139"/>
      <c r="W17" s="139"/>
      <c r="AD17" s="86"/>
      <c r="AE17" s="86"/>
      <c r="AF17" s="86"/>
      <c r="AG17" s="86"/>
      <c r="AH17" s="86"/>
      <c r="AI17" s="86"/>
      <c r="AJ17" s="86"/>
      <c r="AK17" s="86"/>
    </row>
    <row r="18" spans="1:39">
      <c r="B18" t="s">
        <v>185</v>
      </c>
      <c r="E18">
        <v>110</v>
      </c>
      <c r="I18" s="68">
        <f>E18*J12</f>
        <v>518.1</v>
      </c>
      <c r="J18" s="139" t="s">
        <v>216</v>
      </c>
      <c r="O18" t="s">
        <v>185</v>
      </c>
      <c r="R18">
        <v>47</v>
      </c>
      <c r="V18">
        <f>W14*R18</f>
        <v>1560.4</v>
      </c>
      <c r="W18" s="139" t="s">
        <v>191</v>
      </c>
      <c r="AD18" s="86" t="s">
        <v>185</v>
      </c>
      <c r="AE18" s="86"/>
      <c r="AF18" s="86"/>
      <c r="AG18" s="86">
        <v>100</v>
      </c>
      <c r="AH18" s="86"/>
      <c r="AI18" s="86"/>
      <c r="AJ18" s="86"/>
      <c r="AK18" s="84">
        <f>AM14*AG18</f>
        <v>300</v>
      </c>
      <c r="AM18" t="s">
        <v>209</v>
      </c>
    </row>
    <row r="25" spans="1:39" ht="23">
      <c r="B25" s="84"/>
      <c r="C25" s="84"/>
      <c r="D25" s="85" t="s">
        <v>192</v>
      </c>
      <c r="E25" s="84"/>
      <c r="F25" s="84"/>
      <c r="G25" s="84"/>
      <c r="H25" s="84"/>
      <c r="I25" s="84"/>
      <c r="J25" s="84"/>
      <c r="O25" s="84"/>
      <c r="P25" s="84"/>
      <c r="Q25" s="85" t="s">
        <v>200</v>
      </c>
      <c r="R25" s="84"/>
      <c r="S25" s="84"/>
      <c r="T25" s="84"/>
      <c r="U25" s="84"/>
      <c r="V25" s="84"/>
      <c r="W25" s="84"/>
    </row>
    <row r="26" spans="1:39">
      <c r="B26" s="86"/>
      <c r="C26" s="86"/>
      <c r="D26" s="86"/>
      <c r="E26" s="86"/>
      <c r="F26" s="86"/>
      <c r="G26" s="86"/>
      <c r="H26" s="86"/>
      <c r="I26" s="86"/>
      <c r="J26" s="86"/>
    </row>
    <row r="27" spans="1:39">
      <c r="B27" s="86" t="s">
        <v>25</v>
      </c>
      <c r="C27" s="86"/>
      <c r="D27" s="86" t="s">
        <v>193</v>
      </c>
      <c r="E27" s="86"/>
      <c r="F27" s="86" t="s">
        <v>182</v>
      </c>
      <c r="G27" s="86"/>
      <c r="H27" s="86" t="s">
        <v>194</v>
      </c>
      <c r="I27" s="86"/>
      <c r="J27" s="86" t="s">
        <v>195</v>
      </c>
      <c r="O27" s="86" t="s">
        <v>25</v>
      </c>
      <c r="P27" s="86"/>
      <c r="Q27" s="86" t="s">
        <v>193</v>
      </c>
      <c r="R27" s="86"/>
      <c r="S27" s="86" t="s">
        <v>182</v>
      </c>
      <c r="T27" s="86"/>
      <c r="U27" s="86" t="s">
        <v>194</v>
      </c>
      <c r="V27" s="86"/>
      <c r="W27" s="86" t="s">
        <v>195</v>
      </c>
    </row>
    <row r="28" spans="1:39" ht="23">
      <c r="B28" s="86"/>
      <c r="C28" s="86"/>
      <c r="D28" s="86"/>
      <c r="E28" s="86"/>
      <c r="F28" s="86"/>
      <c r="G28" s="86"/>
      <c r="H28" s="86"/>
      <c r="I28" s="86"/>
      <c r="J28" s="86"/>
      <c r="O28" s="86"/>
      <c r="P28" s="86"/>
      <c r="Q28" s="86"/>
      <c r="R28" s="86"/>
      <c r="S28" s="86"/>
      <c r="T28" s="86"/>
      <c r="U28" s="86"/>
      <c r="V28" s="86"/>
      <c r="W28" s="86"/>
      <c r="AF28" s="3" t="s">
        <v>207</v>
      </c>
    </row>
    <row r="29" spans="1:39">
      <c r="B29" s="86"/>
      <c r="C29" s="86"/>
      <c r="D29" s="86">
        <v>0</v>
      </c>
      <c r="E29" s="86"/>
      <c r="F29" s="86"/>
      <c r="G29" s="86"/>
      <c r="H29" s="86"/>
      <c r="I29" s="86"/>
      <c r="J29" s="86"/>
      <c r="O29" s="86"/>
      <c r="P29" s="86"/>
      <c r="Q29" s="86">
        <v>0</v>
      </c>
      <c r="R29" s="86"/>
      <c r="S29" s="86"/>
      <c r="T29" s="86"/>
      <c r="U29" s="86"/>
      <c r="V29" s="86"/>
      <c r="W29" s="86"/>
    </row>
    <row r="30" spans="1:39">
      <c r="B30" s="86"/>
      <c r="C30" s="86"/>
      <c r="D30" s="86"/>
      <c r="E30" s="86"/>
      <c r="F30" s="86"/>
      <c r="G30" s="86"/>
      <c r="H30" s="86"/>
      <c r="I30" s="86"/>
      <c r="J30" s="86"/>
      <c r="O30" s="86"/>
      <c r="P30" s="86"/>
      <c r="Q30" s="86"/>
      <c r="R30" s="86"/>
      <c r="S30" s="86"/>
      <c r="T30" s="86"/>
      <c r="U30" s="86"/>
      <c r="V30" s="86"/>
      <c r="W30" s="86"/>
      <c r="AD30" t="s">
        <v>25</v>
      </c>
      <c r="AF30" t="s">
        <v>193</v>
      </c>
      <c r="AH30" t="s">
        <v>182</v>
      </c>
      <c r="AJ30" t="s">
        <v>194</v>
      </c>
      <c r="AL30" t="s">
        <v>195</v>
      </c>
    </row>
    <row r="31" spans="1:39">
      <c r="A31" s="72"/>
      <c r="B31" s="89">
        <v>44562</v>
      </c>
      <c r="C31" s="66"/>
      <c r="D31" s="86"/>
      <c r="E31" s="86"/>
      <c r="F31" s="86" t="s">
        <v>196</v>
      </c>
      <c r="G31" s="86"/>
      <c r="H31" s="88">
        <v>0</v>
      </c>
      <c r="I31" s="86"/>
      <c r="J31" s="66" t="s">
        <v>196</v>
      </c>
      <c r="O31" s="87">
        <v>44562</v>
      </c>
      <c r="P31" s="86"/>
      <c r="Q31" s="86"/>
      <c r="R31" s="86"/>
      <c r="S31" s="86" t="s">
        <v>201</v>
      </c>
      <c r="T31" s="86"/>
      <c r="U31" s="86">
        <v>0</v>
      </c>
      <c r="V31" s="86"/>
      <c r="W31" s="66" t="s">
        <v>201</v>
      </c>
    </row>
    <row r="32" spans="1:39">
      <c r="B32" s="86"/>
      <c r="C32" s="86"/>
      <c r="D32" s="86"/>
      <c r="E32" s="86"/>
      <c r="F32" s="86"/>
      <c r="G32" s="86"/>
      <c r="H32" s="86"/>
      <c r="I32" s="86"/>
      <c r="J32" s="86"/>
      <c r="O32" s="86"/>
      <c r="P32" s="86"/>
      <c r="Q32" s="86"/>
      <c r="R32" s="86"/>
      <c r="S32" s="86"/>
      <c r="T32" s="86"/>
      <c r="U32" s="86"/>
      <c r="V32" s="86"/>
      <c r="W32" s="86"/>
      <c r="AF32">
        <v>0</v>
      </c>
    </row>
    <row r="33" spans="2:38">
      <c r="B33" s="87">
        <v>44576</v>
      </c>
      <c r="C33" s="86"/>
      <c r="D33" s="86"/>
      <c r="E33" s="86"/>
      <c r="F33" s="86" t="s">
        <v>197</v>
      </c>
      <c r="G33" s="86"/>
      <c r="H33" s="66" t="s">
        <v>219</v>
      </c>
      <c r="I33" s="86"/>
      <c r="J33" s="66" t="s">
        <v>220</v>
      </c>
      <c r="O33" s="87">
        <v>44576</v>
      </c>
      <c r="P33" s="86"/>
      <c r="Q33" s="86"/>
      <c r="R33" s="86"/>
      <c r="S33" s="86" t="s">
        <v>202</v>
      </c>
      <c r="T33" s="86"/>
      <c r="U33" s="66" t="s">
        <v>224</v>
      </c>
      <c r="V33" s="86"/>
      <c r="W33" s="66" t="s">
        <v>225</v>
      </c>
    </row>
    <row r="34" spans="2:38">
      <c r="B34" s="86"/>
      <c r="C34" s="86"/>
      <c r="D34" s="86"/>
      <c r="E34" s="86"/>
      <c r="F34" s="86"/>
      <c r="G34" s="86"/>
      <c r="H34" s="86"/>
      <c r="I34" s="86"/>
      <c r="J34" s="86"/>
      <c r="O34" s="86"/>
      <c r="P34" s="86"/>
      <c r="Q34" s="86"/>
      <c r="R34" s="86"/>
      <c r="S34" s="86"/>
      <c r="T34" s="86"/>
      <c r="U34" s="86"/>
      <c r="V34" s="86"/>
      <c r="W34" s="86"/>
      <c r="AD34" s="72">
        <v>44562</v>
      </c>
      <c r="AH34" t="s">
        <v>208</v>
      </c>
      <c r="AJ34" t="s">
        <v>211</v>
      </c>
      <c r="AL34" t="s">
        <v>208</v>
      </c>
    </row>
    <row r="35" spans="2:38">
      <c r="B35" s="86"/>
      <c r="C35" s="86"/>
      <c r="D35" s="86"/>
      <c r="E35" s="86"/>
      <c r="F35" s="86"/>
      <c r="G35" s="86"/>
      <c r="H35" s="86"/>
      <c r="I35" s="86"/>
      <c r="J35" s="86"/>
      <c r="O35" s="86"/>
      <c r="P35" s="86"/>
      <c r="Q35" s="86"/>
      <c r="R35" s="86"/>
      <c r="S35" s="86"/>
      <c r="T35" s="86"/>
      <c r="U35" s="86"/>
      <c r="V35" s="86"/>
      <c r="W35" s="86"/>
    </row>
    <row r="36" spans="2:38">
      <c r="B36" s="86"/>
      <c r="C36" s="86" t="s">
        <v>178</v>
      </c>
      <c r="D36" s="86"/>
      <c r="E36" s="86"/>
      <c r="F36" s="86"/>
      <c r="G36" s="86"/>
      <c r="H36" s="86">
        <v>10</v>
      </c>
      <c r="I36" s="86"/>
      <c r="J36" s="86">
        <v>110</v>
      </c>
      <c r="O36" s="86"/>
      <c r="P36" s="86" t="s">
        <v>178</v>
      </c>
      <c r="Q36" s="86"/>
      <c r="R36" s="86"/>
      <c r="S36" s="86"/>
      <c r="T36" s="86"/>
      <c r="U36" s="86">
        <v>3</v>
      </c>
      <c r="V36" s="86"/>
      <c r="W36" s="86">
        <v>47</v>
      </c>
      <c r="AD36" s="72">
        <v>44593</v>
      </c>
      <c r="AH36">
        <v>0</v>
      </c>
    </row>
    <row r="37" spans="2:38">
      <c r="B37" s="86"/>
      <c r="C37" s="86"/>
      <c r="D37" s="86"/>
      <c r="E37" s="86"/>
      <c r="F37" s="86"/>
      <c r="G37" s="86"/>
      <c r="H37" s="86"/>
      <c r="I37" s="86"/>
      <c r="J37" s="88"/>
      <c r="O37" s="86"/>
      <c r="P37" s="86"/>
      <c r="Q37" s="86"/>
      <c r="R37" s="86"/>
      <c r="S37" s="86"/>
      <c r="T37" s="86"/>
      <c r="U37" s="86"/>
      <c r="V37" s="86"/>
      <c r="W37" s="86"/>
    </row>
    <row r="38" spans="2:38">
      <c r="B38" s="86"/>
      <c r="C38" s="86" t="s">
        <v>198</v>
      </c>
      <c r="D38" s="86"/>
      <c r="E38" s="86"/>
      <c r="F38" s="86"/>
      <c r="G38" s="86"/>
      <c r="H38" s="88">
        <v>45</v>
      </c>
      <c r="I38" s="86"/>
      <c r="J38" s="90">
        <v>520</v>
      </c>
      <c r="O38" s="86"/>
      <c r="P38" s="86" t="s">
        <v>198</v>
      </c>
      <c r="Q38" s="86"/>
      <c r="R38" s="86"/>
      <c r="S38" s="86"/>
      <c r="T38" s="86"/>
      <c r="U38" s="88">
        <v>96</v>
      </c>
      <c r="V38" s="86"/>
      <c r="W38" s="90">
        <v>1564</v>
      </c>
    </row>
    <row r="39" spans="2:38">
      <c r="B39" s="86"/>
      <c r="C39" s="86"/>
      <c r="D39" s="86"/>
      <c r="E39" s="86"/>
      <c r="F39" s="86"/>
      <c r="G39" s="86"/>
      <c r="H39" s="86"/>
      <c r="I39" s="86"/>
      <c r="J39" s="86"/>
      <c r="O39" s="86"/>
      <c r="P39" s="86"/>
      <c r="Q39" s="86"/>
      <c r="R39" s="86"/>
      <c r="S39" s="86"/>
      <c r="T39" s="86"/>
      <c r="U39" s="86"/>
      <c r="V39" s="86"/>
      <c r="W39" s="86"/>
      <c r="AE39" t="s">
        <v>178</v>
      </c>
      <c r="AJ39">
        <v>0</v>
      </c>
      <c r="AL39">
        <v>100</v>
      </c>
    </row>
    <row r="40" spans="2:38">
      <c r="B40" s="86"/>
      <c r="C40" s="86" t="s">
        <v>199</v>
      </c>
      <c r="D40" s="86"/>
      <c r="E40" s="86"/>
      <c r="F40" s="86"/>
      <c r="G40" s="86"/>
      <c r="H40" s="86"/>
      <c r="I40" s="88">
        <v>565</v>
      </c>
      <c r="O40" s="86"/>
      <c r="P40" s="86" t="s">
        <v>199</v>
      </c>
      <c r="Q40" s="86"/>
      <c r="R40" s="86"/>
      <c r="S40" s="86"/>
      <c r="T40" s="86"/>
      <c r="U40" s="86"/>
      <c r="V40" s="88">
        <v>1660</v>
      </c>
      <c r="W40" s="86"/>
    </row>
    <row r="41" spans="2:38">
      <c r="O41" s="86"/>
      <c r="P41" s="86"/>
      <c r="Q41" s="86"/>
      <c r="R41" s="86"/>
      <c r="S41" s="86"/>
      <c r="T41" s="86"/>
      <c r="U41" s="86"/>
      <c r="V41" s="86"/>
      <c r="W41" s="86"/>
      <c r="AE41" t="s">
        <v>198</v>
      </c>
      <c r="AJ41" s="68">
        <v>0</v>
      </c>
      <c r="AL41" s="68">
        <v>300</v>
      </c>
    </row>
    <row r="43" spans="2:38">
      <c r="AE43" t="s">
        <v>199</v>
      </c>
      <c r="AK43" s="68">
        <v>300</v>
      </c>
    </row>
    <row r="56" spans="2:38" ht="23">
      <c r="D56" s="3" t="s">
        <v>203</v>
      </c>
      <c r="Q56" s="3" t="s">
        <v>203</v>
      </c>
      <c r="AF56" s="3" t="s">
        <v>212</v>
      </c>
    </row>
    <row r="58" spans="2:38">
      <c r="B58" t="s">
        <v>25</v>
      </c>
      <c r="D58" t="s">
        <v>193</v>
      </c>
      <c r="F58" t="s">
        <v>182</v>
      </c>
      <c r="H58" t="s">
        <v>194</v>
      </c>
      <c r="J58" t="s">
        <v>195</v>
      </c>
      <c r="O58" t="s">
        <v>25</v>
      </c>
      <c r="Q58" t="s">
        <v>193</v>
      </c>
      <c r="S58" t="s">
        <v>182</v>
      </c>
      <c r="U58" t="s">
        <v>194</v>
      </c>
      <c r="W58" t="s">
        <v>195</v>
      </c>
      <c r="AD58" t="s">
        <v>25</v>
      </c>
      <c r="AF58" t="s">
        <v>193</v>
      </c>
      <c r="AH58" t="s">
        <v>182</v>
      </c>
      <c r="AJ58" t="s">
        <v>194</v>
      </c>
      <c r="AL58" t="s">
        <v>195</v>
      </c>
    </row>
    <row r="60" spans="2:38">
      <c r="D60">
        <v>0</v>
      </c>
      <c r="Q60">
        <v>0</v>
      </c>
      <c r="AF60">
        <v>0</v>
      </c>
    </row>
    <row r="62" spans="2:38">
      <c r="B62" s="72">
        <v>44562</v>
      </c>
      <c r="F62" t="s">
        <v>196</v>
      </c>
      <c r="H62" t="s">
        <v>218</v>
      </c>
      <c r="J62" t="s">
        <v>217</v>
      </c>
      <c r="O62" s="72">
        <v>44562</v>
      </c>
      <c r="S62" t="s">
        <v>201</v>
      </c>
      <c r="U62" t="s">
        <v>222</v>
      </c>
      <c r="W62" t="s">
        <v>223</v>
      </c>
      <c r="AD62" s="72">
        <v>44562</v>
      </c>
      <c r="AH62" t="s">
        <v>208</v>
      </c>
      <c r="AJ62" t="s">
        <v>211</v>
      </c>
      <c r="AL62" t="s">
        <v>208</v>
      </c>
    </row>
    <row r="64" spans="2:38">
      <c r="B64" s="72">
        <v>44576</v>
      </c>
      <c r="F64" t="s">
        <v>197</v>
      </c>
      <c r="H64" s="68">
        <v>0</v>
      </c>
      <c r="J64" t="s">
        <v>197</v>
      </c>
      <c r="O64" s="72">
        <v>44576</v>
      </c>
      <c r="S64" t="s">
        <v>202</v>
      </c>
      <c r="U64">
        <v>0</v>
      </c>
      <c r="W64" t="s">
        <v>202</v>
      </c>
      <c r="AD64" s="72">
        <v>44593</v>
      </c>
      <c r="AH64">
        <v>0</v>
      </c>
    </row>
    <row r="66" spans="3:38">
      <c r="C66" t="s">
        <v>178</v>
      </c>
      <c r="H66">
        <v>10</v>
      </c>
      <c r="J66">
        <v>110</v>
      </c>
    </row>
    <row r="67" spans="3:38">
      <c r="P67" t="s">
        <v>178</v>
      </c>
      <c r="U67">
        <v>3</v>
      </c>
      <c r="W67">
        <v>47</v>
      </c>
      <c r="AE67" t="s">
        <v>178</v>
      </c>
      <c r="AJ67">
        <v>0</v>
      </c>
      <c r="AL67">
        <v>100</v>
      </c>
    </row>
    <row r="68" spans="3:38">
      <c r="C68" t="s">
        <v>198</v>
      </c>
      <c r="H68" s="68">
        <v>50</v>
      </c>
      <c r="J68" s="68">
        <v>515</v>
      </c>
    </row>
    <row r="69" spans="3:38">
      <c r="P69" t="s">
        <v>198</v>
      </c>
      <c r="U69" s="68">
        <v>105</v>
      </c>
      <c r="W69" s="68">
        <v>1555</v>
      </c>
      <c r="AE69" t="s">
        <v>198</v>
      </c>
      <c r="AJ69" s="68">
        <v>0</v>
      </c>
      <c r="AL69" s="68">
        <v>300</v>
      </c>
    </row>
    <row r="70" spans="3:38">
      <c r="C70" t="s">
        <v>199</v>
      </c>
      <c r="I70" s="68">
        <v>565</v>
      </c>
    </row>
    <row r="71" spans="3:38">
      <c r="P71" t="s">
        <v>199</v>
      </c>
      <c r="V71" s="68">
        <v>1660</v>
      </c>
      <c r="AE71" t="s">
        <v>199</v>
      </c>
      <c r="AK71" s="68">
        <v>300</v>
      </c>
    </row>
  </sheetData>
  <mergeCells count="1">
    <mergeCell ref="AD3:AK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F5F98-9ECA-9645-9923-9B29A59E0AF8}">
  <dimension ref="A1:CZ37"/>
  <sheetViews>
    <sheetView topLeftCell="AX1" workbookViewId="0">
      <selection activeCell="BT9" sqref="BT9"/>
    </sheetView>
  </sheetViews>
  <sheetFormatPr baseColWidth="10" defaultColWidth="10.7109375" defaultRowHeight="17"/>
  <cols>
    <col min="29" max="29" width="0" hidden="1" customWidth="1"/>
  </cols>
  <sheetData>
    <row r="1" spans="1:104" ht="18" thickBot="1">
      <c r="A1" s="6">
        <v>1</v>
      </c>
      <c r="B1" s="8" t="s">
        <v>46</v>
      </c>
      <c r="C1" s="8" t="s">
        <v>47</v>
      </c>
      <c r="D1" s="1"/>
      <c r="E1" s="6">
        <f>+A1+1</f>
        <v>2</v>
      </c>
      <c r="F1" s="8" t="s">
        <v>46</v>
      </c>
      <c r="G1" s="8" t="s">
        <v>47</v>
      </c>
      <c r="H1" s="1"/>
      <c r="I1" s="6">
        <f>+E1+1</f>
        <v>3</v>
      </c>
      <c r="J1" s="8" t="s">
        <v>46</v>
      </c>
      <c r="K1" s="8" t="s">
        <v>47</v>
      </c>
      <c r="L1" s="1"/>
      <c r="M1" s="6">
        <f>+I1+1</f>
        <v>4</v>
      </c>
      <c r="N1" s="8" t="s">
        <v>46</v>
      </c>
      <c r="O1" s="8" t="s">
        <v>47</v>
      </c>
      <c r="P1" s="1"/>
      <c r="Q1" s="6">
        <f>+M1+1</f>
        <v>5</v>
      </c>
      <c r="R1" s="8" t="s">
        <v>46</v>
      </c>
      <c r="S1" s="8" t="s">
        <v>47</v>
      </c>
      <c r="T1" s="1"/>
      <c r="U1" s="6">
        <f>+Q1+1</f>
        <v>6</v>
      </c>
      <c r="V1" s="8" t="s">
        <v>46</v>
      </c>
      <c r="W1" s="8" t="s">
        <v>47</v>
      </c>
      <c r="X1" s="1"/>
      <c r="Y1" s="6">
        <f>+U1+1</f>
        <v>7</v>
      </c>
      <c r="Z1" s="8" t="s">
        <v>46</v>
      </c>
      <c r="AA1" s="8" t="s">
        <v>47</v>
      </c>
      <c r="AB1" s="1"/>
      <c r="AC1" s="6"/>
      <c r="AD1" s="6">
        <f>+Y1+1</f>
        <v>8</v>
      </c>
      <c r="AE1" s="8" t="s">
        <v>46</v>
      </c>
      <c r="AF1" s="8" t="s">
        <v>47</v>
      </c>
      <c r="AG1" s="1"/>
      <c r="AH1" s="6">
        <f>+AD1+1</f>
        <v>9</v>
      </c>
      <c r="AI1" s="8" t="s">
        <v>46</v>
      </c>
      <c r="AJ1" s="8" t="s">
        <v>47</v>
      </c>
      <c r="AK1" s="1"/>
      <c r="AL1" s="6">
        <f>+AH1+1</f>
        <v>10</v>
      </c>
      <c r="AM1" s="8" t="s">
        <v>46</v>
      </c>
      <c r="AN1" s="8" t="s">
        <v>47</v>
      </c>
      <c r="AO1" s="1"/>
      <c r="AP1" s="6">
        <f>+AL1+1</f>
        <v>11</v>
      </c>
      <c r="AQ1" s="8" t="s">
        <v>46</v>
      </c>
      <c r="AR1" s="8" t="s">
        <v>47</v>
      </c>
      <c r="AS1" s="1"/>
      <c r="AT1" s="6">
        <f>+AP1+1</f>
        <v>12</v>
      </c>
      <c r="AU1" s="8" t="s">
        <v>46</v>
      </c>
      <c r="AV1" s="8" t="s">
        <v>47</v>
      </c>
      <c r="AW1" s="1"/>
      <c r="AX1" s="6">
        <f>+AT1+1</f>
        <v>13</v>
      </c>
      <c r="AY1" s="8" t="s">
        <v>46</v>
      </c>
      <c r="AZ1" s="8" t="s">
        <v>47</v>
      </c>
      <c r="BA1" s="1"/>
      <c r="BB1" s="6">
        <f>+AX1+1</f>
        <v>14</v>
      </c>
      <c r="BC1" s="8" t="s">
        <v>46</v>
      </c>
      <c r="BD1" s="8" t="s">
        <v>47</v>
      </c>
      <c r="BE1" s="1"/>
      <c r="BF1" s="6">
        <f>+BB1+1</f>
        <v>15</v>
      </c>
      <c r="BG1" s="8" t="s">
        <v>46</v>
      </c>
      <c r="BH1" s="8" t="s">
        <v>47</v>
      </c>
      <c r="BI1" s="1"/>
      <c r="BJ1" s="6">
        <f>+BF1+1</f>
        <v>16</v>
      </c>
      <c r="BK1" s="8" t="s">
        <v>46</v>
      </c>
      <c r="BL1" s="8" t="s">
        <v>47</v>
      </c>
      <c r="BM1" s="1"/>
      <c r="BN1" s="6">
        <f>+BJ1+1</f>
        <v>17</v>
      </c>
      <c r="BO1" s="8" t="s">
        <v>46</v>
      </c>
      <c r="BP1" s="8" t="s">
        <v>47</v>
      </c>
      <c r="BQ1" s="1"/>
      <c r="BR1" s="6">
        <f>+BN1+1</f>
        <v>18</v>
      </c>
      <c r="BS1" s="8" t="s">
        <v>46</v>
      </c>
      <c r="BT1" s="8" t="s">
        <v>47</v>
      </c>
      <c r="BU1" s="1"/>
      <c r="BV1" s="6">
        <f>+BR1+1</f>
        <v>19</v>
      </c>
      <c r="BW1" s="8" t="s">
        <v>46</v>
      </c>
      <c r="BX1" s="8" t="s">
        <v>47</v>
      </c>
      <c r="BY1" s="1"/>
      <c r="BZ1" s="6">
        <f>+BV1+1</f>
        <v>20</v>
      </c>
      <c r="CA1" s="8" t="s">
        <v>46</v>
      </c>
      <c r="CB1" s="8" t="s">
        <v>47</v>
      </c>
      <c r="CC1" s="1"/>
      <c r="CD1" s="6">
        <f>+BZ1+1</f>
        <v>21</v>
      </c>
      <c r="CE1" s="8" t="s">
        <v>46</v>
      </c>
      <c r="CF1" s="8" t="s">
        <v>47</v>
      </c>
      <c r="CG1" s="1"/>
      <c r="CH1" s="6">
        <f>+CD1+1</f>
        <v>22</v>
      </c>
      <c r="CI1" s="8" t="s">
        <v>46</v>
      </c>
      <c r="CJ1" s="8" t="s">
        <v>47</v>
      </c>
      <c r="CK1" s="1"/>
      <c r="CL1" s="6">
        <f>+CH1+1</f>
        <v>23</v>
      </c>
      <c r="CM1" s="8" t="s">
        <v>46</v>
      </c>
      <c r="CN1" s="8" t="s">
        <v>47</v>
      </c>
      <c r="CO1" s="1"/>
      <c r="CP1" s="6">
        <f>+CL1+1</f>
        <v>24</v>
      </c>
      <c r="CQ1" s="8" t="s">
        <v>46</v>
      </c>
      <c r="CR1" s="8" t="s">
        <v>47</v>
      </c>
      <c r="CS1" s="1"/>
      <c r="CT1" s="6">
        <f>+CP1+1</f>
        <v>25</v>
      </c>
      <c r="CU1" s="8" t="s">
        <v>46</v>
      </c>
      <c r="CV1" s="8" t="s">
        <v>47</v>
      </c>
      <c r="CW1" s="1"/>
      <c r="CX1" s="6">
        <f>+CT1+1</f>
        <v>26</v>
      </c>
      <c r="CY1" s="8" t="s">
        <v>46</v>
      </c>
      <c r="CZ1" s="8" t="s">
        <v>47</v>
      </c>
    </row>
    <row r="2" spans="1:104" ht="18" thickTop="1">
      <c r="A2" s="79" t="s">
        <v>25</v>
      </c>
      <c r="B2" s="162" t="s">
        <v>11</v>
      </c>
      <c r="C2" s="163"/>
      <c r="D2" s="1"/>
      <c r="E2" s="79" t="s">
        <v>25</v>
      </c>
      <c r="F2" s="162" t="s">
        <v>48</v>
      </c>
      <c r="G2" s="163"/>
      <c r="H2" s="1"/>
      <c r="I2" s="79" t="s">
        <v>25</v>
      </c>
      <c r="J2" s="162" t="s">
        <v>92</v>
      </c>
      <c r="K2" s="163"/>
      <c r="L2" s="1"/>
      <c r="M2" s="79" t="s">
        <v>25</v>
      </c>
      <c r="N2" s="162" t="s">
        <v>97</v>
      </c>
      <c r="O2" s="163"/>
      <c r="P2" s="1"/>
      <c r="Q2" s="79" t="s">
        <v>25</v>
      </c>
      <c r="R2" s="166" t="s">
        <v>173</v>
      </c>
      <c r="S2" s="167"/>
      <c r="T2" s="1"/>
      <c r="U2" s="79" t="s">
        <v>25</v>
      </c>
      <c r="V2" s="162" t="s">
        <v>106</v>
      </c>
      <c r="W2" s="157"/>
      <c r="X2" s="125"/>
      <c r="Y2" s="79" t="s">
        <v>25</v>
      </c>
      <c r="Z2" s="157" t="s">
        <v>113</v>
      </c>
      <c r="AA2" s="158"/>
      <c r="AB2" s="1"/>
      <c r="AC2" s="7"/>
      <c r="AD2" s="79" t="s">
        <v>25</v>
      </c>
      <c r="AE2" s="162" t="s">
        <v>72</v>
      </c>
      <c r="AF2" s="163"/>
      <c r="AG2" s="1"/>
      <c r="AH2" s="79" t="s">
        <v>25</v>
      </c>
      <c r="AI2" s="162" t="s">
        <v>253</v>
      </c>
      <c r="AJ2" s="163"/>
      <c r="AK2" s="1"/>
      <c r="AL2" s="79" t="s">
        <v>25</v>
      </c>
      <c r="AM2" s="164" t="s">
        <v>168</v>
      </c>
      <c r="AN2" s="165"/>
      <c r="AO2" s="1"/>
      <c r="AP2" s="79" t="s">
        <v>25</v>
      </c>
      <c r="AQ2" s="162" t="s">
        <v>161</v>
      </c>
      <c r="AR2" s="165"/>
      <c r="AS2" s="1"/>
      <c r="AT2" s="79" t="s">
        <v>25</v>
      </c>
      <c r="AU2" s="164" t="s">
        <v>71</v>
      </c>
      <c r="AV2" s="165"/>
      <c r="AW2" s="1"/>
      <c r="AX2" s="126" t="s">
        <v>25</v>
      </c>
      <c r="AY2" s="160" t="s">
        <v>165</v>
      </c>
      <c r="AZ2" s="160"/>
      <c r="BA2" s="1"/>
      <c r="BB2" s="126" t="s">
        <v>25</v>
      </c>
      <c r="BC2" s="160" t="s">
        <v>95</v>
      </c>
      <c r="BD2" s="160"/>
      <c r="BE2" s="1"/>
      <c r="BF2" s="126" t="s">
        <v>25</v>
      </c>
      <c r="BG2" s="160" t="s">
        <v>88</v>
      </c>
      <c r="BH2" s="160"/>
      <c r="BI2" s="1"/>
      <c r="BJ2" s="126" t="s">
        <v>25</v>
      </c>
      <c r="BK2" s="160" t="s">
        <v>100</v>
      </c>
      <c r="BL2" s="160"/>
      <c r="BM2" s="1"/>
      <c r="BN2" s="126" t="s">
        <v>25</v>
      </c>
      <c r="BO2" s="160" t="s">
        <v>154</v>
      </c>
      <c r="BP2" s="160"/>
      <c r="BQ2" s="1"/>
      <c r="BR2" s="79" t="s">
        <v>25</v>
      </c>
      <c r="BS2" s="161" t="s">
        <v>152</v>
      </c>
      <c r="BT2" s="161"/>
      <c r="BU2" s="125"/>
      <c r="BV2" s="126" t="s">
        <v>25</v>
      </c>
      <c r="BW2" s="160" t="s">
        <v>104</v>
      </c>
      <c r="BX2" s="160"/>
      <c r="BY2" s="1"/>
      <c r="BZ2" s="79" t="s">
        <v>25</v>
      </c>
      <c r="CA2" s="162" t="s">
        <v>174</v>
      </c>
      <c r="CB2" s="163"/>
      <c r="CC2" s="1"/>
      <c r="CD2" s="79" t="s">
        <v>25</v>
      </c>
      <c r="CE2" s="162" t="s">
        <v>234</v>
      </c>
      <c r="CF2" s="163"/>
      <c r="CG2" s="1"/>
      <c r="CH2" s="79" t="s">
        <v>25</v>
      </c>
      <c r="CI2" s="162" t="s">
        <v>249</v>
      </c>
      <c r="CJ2" s="163"/>
      <c r="CK2" s="1"/>
      <c r="CL2" s="7" t="s">
        <v>25</v>
      </c>
      <c r="CM2" s="159"/>
      <c r="CN2" s="159"/>
      <c r="CO2" s="1"/>
      <c r="CP2" s="7" t="s">
        <v>25</v>
      </c>
      <c r="CQ2" s="159"/>
      <c r="CR2" s="159"/>
      <c r="CS2" s="1"/>
      <c r="CT2" s="7" t="s">
        <v>25</v>
      </c>
      <c r="CU2" s="159"/>
      <c r="CV2" s="159"/>
      <c r="CW2" s="1"/>
      <c r="CX2" s="7" t="s">
        <v>25</v>
      </c>
      <c r="CY2" s="159"/>
      <c r="CZ2" s="159"/>
    </row>
    <row r="3" spans="1:104">
      <c r="A3" s="122">
        <v>44562</v>
      </c>
      <c r="B3" s="78">
        <v>200000</v>
      </c>
      <c r="C3" s="11"/>
      <c r="E3" s="122">
        <v>44562</v>
      </c>
      <c r="F3" s="78"/>
      <c r="G3" s="11">
        <v>200000</v>
      </c>
      <c r="I3" s="122">
        <v>44562</v>
      </c>
      <c r="J3" s="78">
        <v>36000</v>
      </c>
      <c r="K3" s="77"/>
      <c r="M3" s="122">
        <v>44562</v>
      </c>
      <c r="N3" s="78">
        <v>5700</v>
      </c>
      <c r="O3" s="11"/>
      <c r="Q3" s="122">
        <v>44562</v>
      </c>
      <c r="R3" s="127">
        <v>950</v>
      </c>
      <c r="S3" s="121"/>
      <c r="T3" s="12"/>
      <c r="U3" s="122">
        <v>44562</v>
      </c>
      <c r="V3" s="78">
        <v>250</v>
      </c>
      <c r="W3" s="11"/>
      <c r="Y3" s="122">
        <v>44562</v>
      </c>
      <c r="Z3" s="78">
        <v>300</v>
      </c>
      <c r="AA3" s="11"/>
      <c r="AC3" s="131"/>
      <c r="AD3" s="122">
        <v>44563</v>
      </c>
      <c r="AE3" s="78">
        <v>120000</v>
      </c>
      <c r="AF3" s="11"/>
      <c r="AH3" s="122">
        <v>44569</v>
      </c>
      <c r="AI3" s="78"/>
      <c r="AJ3" s="11">
        <v>3675</v>
      </c>
      <c r="AL3" s="122">
        <v>44569</v>
      </c>
      <c r="AM3" s="78"/>
      <c r="AN3" s="11">
        <v>3500</v>
      </c>
      <c r="AP3" s="122">
        <v>44569</v>
      </c>
      <c r="AQ3" s="78"/>
      <c r="AR3" s="11">
        <v>275</v>
      </c>
      <c r="AT3" s="122">
        <v>44592</v>
      </c>
      <c r="AU3" s="78">
        <v>5700</v>
      </c>
      <c r="AV3" s="11"/>
      <c r="AX3" s="122">
        <v>44592</v>
      </c>
      <c r="AY3" s="127">
        <v>5100</v>
      </c>
      <c r="AZ3" s="121"/>
      <c r="BB3" s="122">
        <v>44592</v>
      </c>
      <c r="BC3" s="127"/>
      <c r="BD3" s="121">
        <v>16200</v>
      </c>
      <c r="BF3" s="122">
        <v>44592</v>
      </c>
      <c r="BG3" s="127"/>
      <c r="BH3" s="121">
        <v>300</v>
      </c>
      <c r="BI3" s="137"/>
      <c r="BJ3" s="122">
        <v>44592</v>
      </c>
      <c r="BK3" s="127"/>
      <c r="BL3" s="121">
        <v>12000</v>
      </c>
      <c r="BN3" s="122">
        <v>44569</v>
      </c>
      <c r="BO3" s="127"/>
      <c r="BP3" s="121">
        <v>450</v>
      </c>
      <c r="BR3" s="122">
        <v>44569</v>
      </c>
      <c r="BS3" s="127"/>
      <c r="BT3" s="121">
        <v>200</v>
      </c>
      <c r="BV3" s="122">
        <v>44592</v>
      </c>
      <c r="BW3" s="127">
        <v>4500</v>
      </c>
      <c r="BX3" s="121"/>
      <c r="BZ3" s="122">
        <v>44562</v>
      </c>
      <c r="CA3" s="78">
        <v>400</v>
      </c>
      <c r="CB3" s="11"/>
      <c r="CD3" s="122">
        <v>44592</v>
      </c>
      <c r="CE3" s="78">
        <v>500</v>
      </c>
      <c r="CF3" s="11"/>
      <c r="CH3" s="122">
        <v>44592</v>
      </c>
      <c r="CI3" s="124"/>
      <c r="CJ3" s="123">
        <v>500</v>
      </c>
      <c r="CL3" s="9"/>
      <c r="CM3" s="10"/>
      <c r="CN3" s="11"/>
      <c r="CP3" s="9"/>
      <c r="CQ3" s="10"/>
      <c r="CR3" s="11"/>
      <c r="CT3" s="9"/>
      <c r="CU3" s="10"/>
      <c r="CV3" s="11"/>
      <c r="CX3" s="9"/>
      <c r="CY3" s="10"/>
      <c r="CZ3" s="11"/>
    </row>
    <row r="4" spans="1:104">
      <c r="A4" s="122">
        <v>44562</v>
      </c>
      <c r="B4" s="78"/>
      <c r="C4" s="11">
        <v>36000</v>
      </c>
      <c r="E4" s="80"/>
      <c r="F4" s="10"/>
      <c r="G4" s="11"/>
      <c r="I4" s="122">
        <v>44563</v>
      </c>
      <c r="J4" s="78"/>
      <c r="K4" s="11">
        <v>36000</v>
      </c>
      <c r="M4" s="122">
        <v>44592</v>
      </c>
      <c r="N4" s="78"/>
      <c r="O4" s="11">
        <v>5700</v>
      </c>
      <c r="Q4" s="80">
        <v>44562</v>
      </c>
      <c r="R4" s="10">
        <v>300</v>
      </c>
      <c r="S4" s="11"/>
      <c r="T4" s="12"/>
      <c r="U4" s="80"/>
      <c r="V4" s="10"/>
      <c r="W4" s="11"/>
      <c r="Y4" s="80" t="s">
        <v>247</v>
      </c>
      <c r="Z4" s="10"/>
      <c r="AA4" s="11"/>
      <c r="AC4" s="9"/>
      <c r="AD4" s="80"/>
      <c r="AE4" s="10"/>
      <c r="AF4" s="11"/>
      <c r="AH4" s="122">
        <v>44576</v>
      </c>
      <c r="AI4" s="78"/>
      <c r="AJ4" s="11">
        <v>3675</v>
      </c>
      <c r="AL4" s="122">
        <v>44576</v>
      </c>
      <c r="AM4" s="78"/>
      <c r="AN4" s="11">
        <v>3500</v>
      </c>
      <c r="AP4" s="122">
        <v>44576</v>
      </c>
      <c r="AQ4" s="78"/>
      <c r="AR4" s="11">
        <v>275</v>
      </c>
      <c r="AT4" s="80"/>
      <c r="AU4" s="10"/>
      <c r="AV4" s="11"/>
      <c r="AX4" s="122">
        <v>44592</v>
      </c>
      <c r="AY4" s="78">
        <v>2600</v>
      </c>
      <c r="AZ4" s="11"/>
      <c r="BB4" s="80"/>
      <c r="BC4" s="10"/>
      <c r="BD4" s="11"/>
      <c r="BF4" s="80"/>
      <c r="BG4" s="10"/>
      <c r="BH4" s="11"/>
      <c r="BJ4" s="136"/>
      <c r="BK4" s="10"/>
      <c r="BL4" s="11"/>
      <c r="BN4" s="122">
        <v>44576</v>
      </c>
      <c r="BO4" s="78"/>
      <c r="BP4" s="11">
        <v>450</v>
      </c>
      <c r="BR4" s="122">
        <v>44576</v>
      </c>
      <c r="BS4" s="78"/>
      <c r="BT4" s="11">
        <v>200</v>
      </c>
      <c r="BV4" s="80"/>
      <c r="BW4" s="10"/>
      <c r="BX4" s="115"/>
      <c r="BZ4" s="132"/>
      <c r="CA4" s="78"/>
      <c r="CB4" s="11"/>
      <c r="CD4" s="80"/>
      <c r="CE4" s="10"/>
      <c r="CF4" s="11"/>
      <c r="CH4" s="80"/>
      <c r="CI4" s="10"/>
      <c r="CJ4" s="11"/>
      <c r="CL4" s="9"/>
      <c r="CM4" s="10"/>
      <c r="CN4" s="11"/>
      <c r="CP4" s="9"/>
      <c r="CQ4" s="10"/>
      <c r="CR4" s="11"/>
      <c r="CT4" s="9"/>
      <c r="CU4" s="10"/>
      <c r="CV4" s="11"/>
      <c r="CX4" s="9"/>
      <c r="CY4" s="10"/>
      <c r="CZ4" s="11"/>
    </row>
    <row r="5" spans="1:104">
      <c r="A5" s="122">
        <v>44562</v>
      </c>
      <c r="B5" s="78"/>
      <c r="C5" s="11">
        <v>5700</v>
      </c>
      <c r="E5" s="9"/>
      <c r="F5" s="10"/>
      <c r="G5" s="11"/>
      <c r="I5" s="80"/>
      <c r="J5" s="10"/>
      <c r="K5" s="11"/>
      <c r="M5" s="80"/>
      <c r="N5" s="10"/>
      <c r="O5" s="11"/>
      <c r="Q5" s="9">
        <v>44576</v>
      </c>
      <c r="R5" s="10">
        <v>1275</v>
      </c>
      <c r="S5" s="11"/>
      <c r="T5" s="12"/>
      <c r="U5" s="9"/>
      <c r="V5" s="10"/>
      <c r="W5" s="11"/>
      <c r="Y5" s="9"/>
      <c r="Z5" s="10"/>
      <c r="AA5" s="11"/>
      <c r="AC5" s="9"/>
      <c r="AD5" s="9"/>
      <c r="AE5" s="10"/>
      <c r="AF5" s="11"/>
      <c r="AH5" s="122">
        <v>44583</v>
      </c>
      <c r="AI5" s="78"/>
      <c r="AJ5" s="11">
        <v>3675</v>
      </c>
      <c r="AL5" s="122">
        <v>44583</v>
      </c>
      <c r="AM5" s="78"/>
      <c r="AN5" s="11">
        <v>3500</v>
      </c>
      <c r="AP5" s="122">
        <v>44583</v>
      </c>
      <c r="AQ5" s="78"/>
      <c r="AR5" s="11">
        <v>275</v>
      </c>
      <c r="AT5" s="9"/>
      <c r="AU5" s="10"/>
      <c r="AV5" s="11"/>
      <c r="AX5" s="122">
        <v>44592</v>
      </c>
      <c r="AY5" s="78">
        <v>6000</v>
      </c>
      <c r="AZ5" s="11"/>
      <c r="BB5" s="9"/>
      <c r="BC5" s="10"/>
      <c r="BD5" s="11"/>
      <c r="BF5" s="9"/>
      <c r="BG5" s="10"/>
      <c r="BH5" s="11"/>
      <c r="BJ5" s="9"/>
      <c r="BK5" s="10"/>
      <c r="BL5" s="11"/>
      <c r="BN5" s="122">
        <v>44583</v>
      </c>
      <c r="BO5" s="78"/>
      <c r="BP5" s="11">
        <v>450</v>
      </c>
      <c r="BR5" s="122">
        <v>44583</v>
      </c>
      <c r="BS5" s="78"/>
      <c r="BT5" s="11">
        <v>200</v>
      </c>
      <c r="BV5" s="9"/>
      <c r="BW5" s="10"/>
      <c r="BX5" s="11"/>
      <c r="BZ5" s="80"/>
      <c r="CA5" s="10"/>
      <c r="CB5" s="11"/>
      <c r="CD5" s="9"/>
      <c r="CE5" s="10"/>
      <c r="CF5" s="11"/>
      <c r="CH5" s="9"/>
      <c r="CI5" s="10"/>
      <c r="CJ5" s="11"/>
      <c r="CL5" s="9"/>
      <c r="CM5" s="10"/>
      <c r="CN5" s="11"/>
      <c r="CP5" s="9"/>
      <c r="CQ5" s="10"/>
      <c r="CR5" s="11"/>
      <c r="CT5" s="9"/>
      <c r="CU5" s="10"/>
      <c r="CV5" s="11"/>
      <c r="CX5" s="9"/>
      <c r="CY5" s="10"/>
      <c r="CZ5" s="11"/>
    </row>
    <row r="6" spans="1:104">
      <c r="A6" s="122">
        <v>44562</v>
      </c>
      <c r="B6" s="78"/>
      <c r="C6" s="11">
        <v>400</v>
      </c>
      <c r="E6" s="9"/>
      <c r="F6" s="10"/>
      <c r="G6" s="11"/>
      <c r="I6" s="80"/>
      <c r="J6" s="10"/>
      <c r="K6" s="11"/>
      <c r="M6" s="9"/>
      <c r="N6" s="10"/>
      <c r="O6" s="11"/>
      <c r="Q6" s="9"/>
      <c r="R6" s="10"/>
      <c r="S6" s="11"/>
      <c r="T6" s="12"/>
      <c r="U6" s="9"/>
      <c r="V6" s="10"/>
      <c r="W6" s="11"/>
      <c r="Y6" s="9"/>
      <c r="Z6" s="10"/>
      <c r="AA6" s="11"/>
      <c r="AC6" s="9"/>
      <c r="AD6" s="9"/>
      <c r="AE6" s="10"/>
      <c r="AF6" s="11"/>
      <c r="AH6" s="122">
        <v>44590</v>
      </c>
      <c r="AI6" s="78"/>
      <c r="AJ6" s="11">
        <v>3675</v>
      </c>
      <c r="AL6" s="122">
        <v>44590</v>
      </c>
      <c r="AM6" s="78"/>
      <c r="AN6" s="11">
        <v>3500</v>
      </c>
      <c r="AP6" s="122">
        <v>44590</v>
      </c>
      <c r="AQ6" s="78"/>
      <c r="AR6" s="120">
        <v>275</v>
      </c>
      <c r="AT6" s="75"/>
      <c r="AU6" s="76"/>
      <c r="AV6" s="11"/>
      <c r="AX6" s="80"/>
      <c r="AY6" s="10"/>
      <c r="AZ6" s="11"/>
      <c r="BB6" s="75"/>
      <c r="BC6" s="10"/>
      <c r="BD6" s="81"/>
      <c r="BF6" s="75"/>
      <c r="BG6" s="10"/>
      <c r="BH6" s="81"/>
      <c r="BJ6" s="75"/>
      <c r="BK6" s="10"/>
      <c r="BL6" s="81"/>
      <c r="BN6" s="122">
        <v>44590</v>
      </c>
      <c r="BO6" s="78"/>
      <c r="BP6" s="11">
        <v>450</v>
      </c>
      <c r="BR6" s="122">
        <v>44590</v>
      </c>
      <c r="BS6" s="78"/>
      <c r="BT6" s="11">
        <v>200</v>
      </c>
      <c r="BV6" s="75"/>
      <c r="BW6" s="76"/>
      <c r="BX6" s="11"/>
      <c r="BZ6" s="75"/>
      <c r="CA6" s="76"/>
      <c r="CB6" s="11"/>
      <c r="CD6" s="75"/>
      <c r="CE6" s="76"/>
      <c r="CF6" s="11"/>
      <c r="CH6" s="75"/>
      <c r="CI6" s="10"/>
      <c r="CJ6" s="81"/>
      <c r="CL6" s="9"/>
      <c r="CM6" s="10"/>
      <c r="CN6" s="11"/>
      <c r="CP6" s="9"/>
      <c r="CQ6" s="10"/>
      <c r="CR6" s="11"/>
      <c r="CT6" s="9"/>
      <c r="CU6" s="10"/>
      <c r="CV6" s="11"/>
      <c r="CX6" s="9"/>
      <c r="CY6" s="10"/>
      <c r="CZ6" s="11"/>
    </row>
    <row r="7" spans="1:104">
      <c r="A7" s="122">
        <v>44562</v>
      </c>
      <c r="B7" s="78"/>
      <c r="C7" s="11">
        <v>950</v>
      </c>
      <c r="E7" s="75"/>
      <c r="F7" s="10"/>
      <c r="G7" s="81"/>
      <c r="I7" s="75"/>
      <c r="J7" s="10"/>
      <c r="K7" s="81"/>
      <c r="M7" s="75"/>
      <c r="N7" s="10"/>
      <c r="O7" s="81"/>
      <c r="Q7" s="93"/>
      <c r="R7" s="94"/>
      <c r="S7" s="11"/>
      <c r="T7" s="12"/>
      <c r="U7" s="75"/>
      <c r="V7" s="76"/>
      <c r="W7" s="11"/>
      <c r="Y7" s="75"/>
      <c r="Z7" s="76"/>
      <c r="AA7" s="11"/>
      <c r="AC7" s="9"/>
      <c r="AD7" s="75"/>
      <c r="AE7" s="76"/>
      <c r="AF7" s="11"/>
      <c r="AH7" s="109"/>
      <c r="AI7" s="78"/>
      <c r="AJ7" s="11"/>
      <c r="AL7" s="80"/>
      <c r="AM7" s="10"/>
      <c r="AN7" s="11"/>
      <c r="AP7" s="80"/>
      <c r="AQ7" s="10"/>
      <c r="AR7" s="135"/>
      <c r="AT7" s="9"/>
      <c r="AU7" s="10"/>
      <c r="AV7" s="11"/>
      <c r="AX7" s="9"/>
      <c r="AY7" s="10"/>
      <c r="AZ7" s="11"/>
      <c r="BB7" s="9"/>
      <c r="BC7" s="10"/>
      <c r="BD7" s="11"/>
      <c r="BF7" s="9"/>
      <c r="BG7" s="10"/>
      <c r="BH7" s="11"/>
      <c r="BJ7" s="9"/>
      <c r="BK7" s="10"/>
      <c r="BL7" s="11"/>
      <c r="BN7" s="80"/>
      <c r="BO7" s="10"/>
      <c r="BP7" s="11"/>
      <c r="BR7" s="80"/>
      <c r="BS7" s="10"/>
      <c r="BT7" s="11"/>
      <c r="BV7" s="9"/>
      <c r="BW7" s="10"/>
      <c r="BX7" s="11"/>
      <c r="BZ7" s="9"/>
      <c r="CA7" s="10"/>
      <c r="CB7" s="11"/>
      <c r="CD7" s="9"/>
      <c r="CE7" s="10"/>
      <c r="CF7" s="11"/>
      <c r="CH7" s="9"/>
      <c r="CI7" s="10"/>
      <c r="CJ7" s="11"/>
      <c r="CL7" s="9"/>
      <c r="CM7" s="10"/>
      <c r="CN7" s="11"/>
      <c r="CP7" s="9"/>
      <c r="CQ7" s="10"/>
      <c r="CR7" s="11"/>
      <c r="CT7" s="9"/>
      <c r="CU7" s="10"/>
      <c r="CV7" s="11"/>
      <c r="CX7" s="9"/>
      <c r="CY7" s="10"/>
      <c r="CZ7" s="11"/>
    </row>
    <row r="8" spans="1:104">
      <c r="A8" s="122">
        <v>44562</v>
      </c>
      <c r="B8" s="78"/>
      <c r="C8" s="11">
        <v>250</v>
      </c>
      <c r="E8" s="9"/>
      <c r="F8" s="10"/>
      <c r="G8" s="11"/>
      <c r="I8" s="9"/>
      <c r="J8" s="10"/>
      <c r="K8" s="11"/>
      <c r="M8" s="9"/>
      <c r="N8" s="10"/>
      <c r="O8" s="11"/>
      <c r="Q8" s="9"/>
      <c r="R8" s="10"/>
      <c r="S8" s="11"/>
      <c r="T8" s="12"/>
      <c r="U8" s="9"/>
      <c r="V8" s="10"/>
      <c r="W8" s="11"/>
      <c r="Y8" s="9"/>
      <c r="Z8" s="10"/>
      <c r="AA8" s="11"/>
      <c r="AC8" s="9"/>
      <c r="AD8" s="9"/>
      <c r="AE8" s="10"/>
      <c r="AF8" s="11"/>
      <c r="AH8" s="110"/>
      <c r="AI8" s="78"/>
      <c r="AJ8" s="11"/>
      <c r="AL8" s="9"/>
      <c r="AM8" s="10"/>
      <c r="AN8" s="11"/>
      <c r="AP8" s="9"/>
      <c r="AQ8" s="10"/>
      <c r="AR8" s="121"/>
      <c r="AT8" s="9"/>
      <c r="AU8" s="10"/>
      <c r="AV8" s="11"/>
      <c r="AX8" s="75"/>
      <c r="AY8" s="76"/>
      <c r="AZ8" s="11"/>
      <c r="BB8" s="9"/>
      <c r="BC8" s="10"/>
      <c r="BD8" s="11"/>
      <c r="BF8" s="9"/>
      <c r="BG8" s="10"/>
      <c r="BH8" s="11"/>
      <c r="BJ8" s="9"/>
      <c r="BK8" s="10"/>
      <c r="BL8" s="11"/>
      <c r="BN8" s="9"/>
      <c r="BO8" s="10"/>
      <c r="BP8" s="11"/>
      <c r="BR8" s="9"/>
      <c r="BS8" s="10"/>
      <c r="BT8" s="11"/>
      <c r="BV8" s="9"/>
      <c r="BW8" s="10"/>
      <c r="BX8" s="11"/>
      <c r="BZ8" s="9"/>
      <c r="CA8" s="10"/>
      <c r="CB8" s="11"/>
      <c r="CD8" s="9"/>
      <c r="CE8" s="10"/>
      <c r="CF8" s="11"/>
      <c r="CH8" s="9"/>
      <c r="CI8" s="10"/>
      <c r="CJ8" s="11"/>
      <c r="CL8" s="9"/>
      <c r="CM8" s="10"/>
      <c r="CN8" s="11"/>
      <c r="CP8" s="9"/>
      <c r="CQ8" s="10"/>
      <c r="CR8" s="11"/>
      <c r="CT8" s="9"/>
      <c r="CU8" s="10"/>
      <c r="CV8" s="11"/>
      <c r="CX8" s="9"/>
      <c r="CY8" s="10"/>
      <c r="CZ8" s="11"/>
    </row>
    <row r="9" spans="1:104">
      <c r="A9" s="122">
        <v>44562</v>
      </c>
      <c r="B9" s="78"/>
      <c r="C9" s="11">
        <v>300</v>
      </c>
      <c r="E9" s="9"/>
      <c r="F9" s="10"/>
      <c r="G9" s="11"/>
      <c r="I9" s="9"/>
      <c r="J9" s="10"/>
      <c r="K9" s="11"/>
      <c r="M9" s="9"/>
      <c r="N9" s="10"/>
      <c r="O9" s="11"/>
      <c r="Q9" s="9"/>
      <c r="R9" s="10"/>
      <c r="S9" s="11"/>
      <c r="T9" s="12"/>
      <c r="U9" s="9"/>
      <c r="V9" s="10"/>
      <c r="W9" s="11"/>
      <c r="Y9" s="9"/>
      <c r="Z9" s="10"/>
      <c r="AA9" s="11"/>
      <c r="AC9" s="9"/>
      <c r="AD9" s="9"/>
      <c r="AE9" s="10"/>
      <c r="AF9" s="11"/>
      <c r="AH9" s="108"/>
      <c r="AI9" s="76"/>
      <c r="AJ9" s="81"/>
      <c r="AL9" s="75"/>
      <c r="AM9" s="76"/>
      <c r="AN9" s="81"/>
      <c r="AP9" s="75"/>
      <c r="AQ9" s="76"/>
      <c r="AR9" s="81"/>
      <c r="AT9" s="9"/>
      <c r="AU9" s="10"/>
      <c r="AV9" s="11"/>
      <c r="AX9" s="9"/>
      <c r="AY9" s="10"/>
      <c r="AZ9" s="11"/>
      <c r="BB9" s="9"/>
      <c r="BC9" s="10"/>
      <c r="BD9" s="11"/>
      <c r="BF9" s="9"/>
      <c r="BG9" s="10"/>
      <c r="BH9" s="11"/>
      <c r="BJ9" s="9"/>
      <c r="BK9" s="10"/>
      <c r="BL9" s="11"/>
      <c r="BN9" s="75"/>
      <c r="BO9" s="76"/>
      <c r="BP9" s="81"/>
      <c r="BR9" s="75"/>
      <c r="BS9" s="76"/>
      <c r="BT9" s="81"/>
      <c r="BV9" s="9"/>
      <c r="BW9" s="10"/>
      <c r="BX9" s="11"/>
      <c r="BZ9" s="9"/>
      <c r="CA9" s="10"/>
      <c r="CB9" s="11"/>
      <c r="CD9" s="9"/>
      <c r="CE9" s="10"/>
      <c r="CF9" s="11"/>
      <c r="CH9" s="9"/>
      <c r="CI9" s="10"/>
      <c r="CJ9" s="11"/>
      <c r="CL9" s="9"/>
      <c r="CM9" s="10"/>
      <c r="CN9" s="11"/>
      <c r="CP9" s="9"/>
      <c r="CQ9" s="10"/>
      <c r="CR9" s="11"/>
      <c r="CT9" s="9"/>
      <c r="CU9" s="10"/>
      <c r="CV9" s="11"/>
      <c r="CX9" s="9"/>
      <c r="CY9" s="10"/>
      <c r="CZ9" s="11"/>
    </row>
    <row r="10" spans="1:104">
      <c r="A10" s="122">
        <v>44562</v>
      </c>
      <c r="B10" s="78"/>
      <c r="C10" s="11">
        <v>84000</v>
      </c>
      <c r="E10" s="9"/>
      <c r="F10" s="10"/>
      <c r="G10" s="11"/>
      <c r="I10" s="9"/>
      <c r="J10" s="10"/>
      <c r="K10" s="11"/>
      <c r="M10" s="9"/>
      <c r="N10" s="10"/>
      <c r="O10" s="11"/>
      <c r="Q10" s="9"/>
      <c r="R10" s="10"/>
      <c r="S10" s="11"/>
      <c r="T10" s="12"/>
      <c r="U10" s="9"/>
      <c r="V10" s="10"/>
      <c r="W10" s="11"/>
      <c r="Y10" s="9"/>
      <c r="Z10" s="10"/>
      <c r="AA10" s="11"/>
      <c r="AC10" s="9"/>
      <c r="AD10" s="9"/>
      <c r="AE10" s="10"/>
      <c r="AF10" s="11"/>
      <c r="AH10" s="9"/>
      <c r="AI10" s="10"/>
      <c r="AJ10" s="11"/>
      <c r="AL10" s="9"/>
      <c r="AM10" s="10"/>
      <c r="AN10" s="11"/>
      <c r="AP10" s="9"/>
      <c r="AQ10" s="10"/>
      <c r="AR10" s="11"/>
      <c r="AT10" s="9"/>
      <c r="AU10" s="10"/>
      <c r="AV10" s="11"/>
      <c r="AX10" s="9"/>
      <c r="AY10" s="10"/>
      <c r="AZ10" s="11"/>
      <c r="BB10" s="9"/>
      <c r="BC10" s="10"/>
      <c r="BD10" s="11"/>
      <c r="BF10" s="9"/>
      <c r="BG10" s="10"/>
      <c r="BH10" s="11"/>
      <c r="BJ10" s="9"/>
      <c r="BK10" s="10"/>
      <c r="BL10" s="11"/>
      <c r="BN10" s="9"/>
      <c r="BO10" s="10"/>
      <c r="BP10" s="11"/>
      <c r="BR10" s="9"/>
      <c r="BS10" s="10"/>
      <c r="BT10" s="11"/>
      <c r="BV10" s="9"/>
      <c r="BW10" s="10"/>
      <c r="BX10" s="11"/>
      <c r="BZ10" s="9"/>
      <c r="CA10" s="10"/>
      <c r="CB10" s="11"/>
      <c r="CD10" s="9"/>
      <c r="CE10" s="10"/>
      <c r="CF10" s="11"/>
      <c r="CH10" s="9"/>
      <c r="CI10" s="10"/>
      <c r="CJ10" s="11"/>
      <c r="CL10" s="9"/>
      <c r="CM10" s="10"/>
      <c r="CN10" s="11"/>
      <c r="CP10" s="9"/>
      <c r="CQ10" s="10"/>
      <c r="CR10" s="11"/>
      <c r="CT10" s="9"/>
      <c r="CU10" s="10"/>
      <c r="CV10" s="11"/>
      <c r="CX10" s="9"/>
      <c r="CY10" s="10"/>
      <c r="CZ10" s="11"/>
    </row>
    <row r="11" spans="1:104">
      <c r="A11" s="122">
        <v>44569</v>
      </c>
      <c r="B11" s="78">
        <v>7175</v>
      </c>
      <c r="C11" s="11"/>
      <c r="E11" s="9"/>
      <c r="F11" s="10"/>
      <c r="G11" s="11"/>
      <c r="I11" s="9"/>
      <c r="J11" s="10"/>
      <c r="K11" s="11"/>
      <c r="M11" s="9"/>
      <c r="N11" s="10"/>
      <c r="O11" s="11"/>
      <c r="Q11" s="9"/>
      <c r="R11" s="10"/>
      <c r="S11" s="11"/>
      <c r="T11" s="12"/>
      <c r="U11" s="9"/>
      <c r="V11" s="10"/>
      <c r="W11" s="11"/>
      <c r="Y11" s="9"/>
      <c r="Z11" s="10"/>
      <c r="AA11" s="11"/>
      <c r="AC11" s="9"/>
      <c r="AD11" s="9"/>
      <c r="AE11" s="10"/>
      <c r="AF11" s="11"/>
      <c r="AH11" s="9"/>
      <c r="AI11" s="10"/>
      <c r="AJ11" s="11"/>
      <c r="AL11" s="9"/>
      <c r="AM11" s="10"/>
      <c r="AN11" s="11"/>
      <c r="AP11" s="9"/>
      <c r="AQ11" s="10"/>
      <c r="AR11" s="11"/>
      <c r="AT11" s="9"/>
      <c r="AU11" s="10"/>
      <c r="AV11" s="11"/>
      <c r="AX11" s="9"/>
      <c r="AY11" s="10"/>
      <c r="AZ11" s="11"/>
      <c r="BB11" s="9"/>
      <c r="BC11" s="10"/>
      <c r="BD11" s="11"/>
      <c r="BF11" s="9"/>
      <c r="BG11" s="10"/>
      <c r="BH11" s="11"/>
      <c r="BJ11" s="9"/>
      <c r="BK11" s="10"/>
      <c r="BL11" s="11"/>
      <c r="BN11" s="9"/>
      <c r="BO11" s="10"/>
      <c r="BP11" s="11"/>
      <c r="BR11" s="9"/>
      <c r="BS11" s="10"/>
      <c r="BT11" s="11"/>
      <c r="BV11" s="9"/>
      <c r="BW11" s="10"/>
      <c r="BX11" s="11"/>
      <c r="BZ11" s="9"/>
      <c r="CA11" s="10"/>
      <c r="CB11" s="11"/>
      <c r="CD11" s="9"/>
      <c r="CE11" s="10"/>
      <c r="CF11" s="11"/>
      <c r="CH11" s="9"/>
      <c r="CI11" s="10"/>
      <c r="CJ11" s="11"/>
      <c r="CL11" s="9"/>
      <c r="CM11" s="10"/>
      <c r="CN11" s="11"/>
      <c r="CP11" s="9"/>
      <c r="CQ11" s="10"/>
      <c r="CR11" s="11"/>
      <c r="CT11" s="9"/>
      <c r="CU11" s="10"/>
      <c r="CV11" s="11"/>
      <c r="CX11" s="9"/>
      <c r="CY11" s="10"/>
      <c r="CZ11" s="11"/>
    </row>
    <row r="12" spans="1:104">
      <c r="A12" s="122">
        <v>44569</v>
      </c>
      <c r="B12" s="78">
        <v>275</v>
      </c>
      <c r="C12" s="11"/>
      <c r="E12" s="9"/>
      <c r="F12" s="10"/>
      <c r="G12" s="11"/>
      <c r="I12" s="9"/>
      <c r="J12" s="10"/>
      <c r="K12" s="11"/>
      <c r="M12" s="9"/>
      <c r="N12" s="10"/>
      <c r="O12" s="11"/>
      <c r="Q12" s="9"/>
      <c r="R12" s="10"/>
      <c r="S12" s="11"/>
      <c r="T12" s="12"/>
      <c r="U12" s="9"/>
      <c r="V12" s="10"/>
      <c r="W12" s="11"/>
      <c r="Y12" s="9"/>
      <c r="Z12" s="10"/>
      <c r="AA12" s="11"/>
      <c r="AC12" s="9"/>
      <c r="AD12" s="9"/>
      <c r="AE12" s="10"/>
      <c r="AF12" s="11"/>
      <c r="AH12" s="9"/>
      <c r="AI12" s="10"/>
      <c r="AJ12" s="11"/>
      <c r="AL12" s="9"/>
      <c r="AM12" s="10"/>
      <c r="AN12" s="11"/>
      <c r="AP12" s="9"/>
      <c r="AQ12" s="10"/>
      <c r="AR12" s="11"/>
      <c r="AT12" s="9"/>
      <c r="AU12" s="10"/>
      <c r="AV12" s="11"/>
      <c r="AX12" s="9"/>
      <c r="AY12" s="10"/>
      <c r="AZ12" s="11"/>
      <c r="BB12" s="9"/>
      <c r="BC12" s="10"/>
      <c r="BD12" s="11"/>
      <c r="BF12" s="9"/>
      <c r="BG12" s="10"/>
      <c r="BH12" s="11"/>
      <c r="BJ12" s="9"/>
      <c r="BK12" s="10"/>
      <c r="BL12" s="11"/>
      <c r="BN12" s="9"/>
      <c r="BO12" s="10"/>
      <c r="BP12" s="11"/>
      <c r="BR12" s="9"/>
      <c r="BS12" s="10"/>
      <c r="BT12" s="11"/>
      <c r="BV12" s="9"/>
      <c r="BW12" s="10"/>
      <c r="BX12" s="11"/>
      <c r="BZ12" s="9"/>
      <c r="CA12" s="10"/>
      <c r="CB12" s="11"/>
      <c r="CD12" s="9"/>
      <c r="CE12" s="10"/>
      <c r="CF12" s="11"/>
      <c r="CH12" s="9"/>
      <c r="CI12" s="10"/>
      <c r="CJ12" s="11"/>
      <c r="CL12" s="9"/>
      <c r="CM12" s="10"/>
      <c r="CN12" s="11"/>
      <c r="CP12" s="9"/>
      <c r="CQ12" s="10"/>
      <c r="CR12" s="11"/>
      <c r="CT12" s="9"/>
      <c r="CU12" s="10"/>
      <c r="CV12" s="11"/>
      <c r="CX12" s="9"/>
      <c r="CY12" s="10"/>
      <c r="CZ12" s="11"/>
    </row>
    <row r="13" spans="1:104">
      <c r="A13" s="122">
        <v>44569</v>
      </c>
      <c r="B13" s="78">
        <v>650</v>
      </c>
      <c r="C13" s="11"/>
      <c r="E13" s="9"/>
      <c r="F13" s="10"/>
      <c r="G13" s="11"/>
      <c r="I13" s="9"/>
      <c r="J13" s="10"/>
      <c r="K13" s="11"/>
      <c r="M13" s="9"/>
      <c r="N13" s="10"/>
      <c r="O13" s="11"/>
      <c r="Q13" s="9"/>
      <c r="R13" s="10"/>
      <c r="S13" s="11"/>
      <c r="T13" s="12"/>
      <c r="U13" s="9"/>
      <c r="V13" s="10"/>
      <c r="W13" s="11"/>
      <c r="Y13" s="9"/>
      <c r="Z13" s="10"/>
      <c r="AA13" s="11"/>
      <c r="AC13" s="9"/>
      <c r="AD13" s="9"/>
      <c r="AE13" s="10"/>
      <c r="AF13" s="11"/>
      <c r="AH13" s="9"/>
      <c r="AI13" s="10"/>
      <c r="AJ13" s="11"/>
      <c r="AL13" s="9"/>
      <c r="AM13" s="10"/>
      <c r="AN13" s="11"/>
      <c r="AP13" s="9"/>
      <c r="AQ13" s="10"/>
      <c r="AR13" s="11"/>
      <c r="AT13" s="9"/>
      <c r="AU13" s="10"/>
      <c r="AV13" s="11"/>
      <c r="AX13" s="9"/>
      <c r="AY13" s="10"/>
      <c r="AZ13" s="11"/>
      <c r="BB13" s="9"/>
      <c r="BC13" s="10"/>
      <c r="BD13" s="11"/>
      <c r="BF13" s="9"/>
      <c r="BG13" s="10"/>
      <c r="BH13" s="11"/>
      <c r="BJ13" s="9"/>
      <c r="BK13" s="10"/>
      <c r="BL13" s="11"/>
      <c r="BN13" s="9"/>
      <c r="BO13" s="10"/>
      <c r="BP13" s="11"/>
      <c r="BR13" s="9"/>
      <c r="BS13" s="10"/>
      <c r="BT13" s="11"/>
      <c r="BV13" s="9"/>
      <c r="BW13" s="10"/>
      <c r="BX13" s="11"/>
      <c r="BZ13" s="9"/>
      <c r="CA13" s="10"/>
      <c r="CB13" s="11"/>
      <c r="CD13" s="9"/>
      <c r="CE13" s="10"/>
      <c r="CF13" s="11"/>
      <c r="CH13" s="9"/>
      <c r="CI13" s="10"/>
      <c r="CJ13" s="11"/>
      <c r="CL13" s="9"/>
      <c r="CM13" s="10"/>
      <c r="CN13" s="11"/>
      <c r="CP13" s="9"/>
      <c r="CQ13" s="10"/>
      <c r="CR13" s="11"/>
      <c r="CT13" s="9"/>
      <c r="CU13" s="10"/>
      <c r="CV13" s="11"/>
      <c r="CX13" s="9"/>
      <c r="CY13" s="10"/>
      <c r="CZ13" s="11"/>
    </row>
    <row r="14" spans="1:104">
      <c r="A14" s="122">
        <v>44941</v>
      </c>
      <c r="B14" s="78"/>
      <c r="C14" s="11">
        <v>1275</v>
      </c>
      <c r="E14" s="9"/>
      <c r="F14" s="10"/>
      <c r="G14" s="11"/>
      <c r="I14" s="9"/>
      <c r="J14" s="10"/>
      <c r="K14" s="11"/>
      <c r="M14" s="9"/>
      <c r="N14" s="10"/>
      <c r="O14" s="11"/>
      <c r="Q14" s="9"/>
      <c r="R14" s="10"/>
      <c r="S14" s="11"/>
      <c r="T14" s="12"/>
      <c r="U14" s="9"/>
      <c r="V14" s="10"/>
      <c r="W14" s="11"/>
      <c r="Y14" s="9"/>
      <c r="Z14" s="10"/>
      <c r="AA14" s="11"/>
      <c r="AC14" s="9"/>
      <c r="AD14" s="9"/>
      <c r="AE14" s="10"/>
      <c r="AF14" s="11"/>
      <c r="AH14" s="9"/>
      <c r="AI14" s="10"/>
      <c r="AJ14" s="11"/>
      <c r="AL14" s="9"/>
      <c r="AM14" s="10"/>
      <c r="AN14" s="11"/>
      <c r="AP14" s="9"/>
      <c r="AQ14" s="10"/>
      <c r="AR14" s="11"/>
      <c r="AT14" s="9"/>
      <c r="AU14" s="10"/>
      <c r="AV14" s="11"/>
      <c r="AX14" s="9"/>
      <c r="AY14" s="10"/>
      <c r="AZ14" s="11"/>
      <c r="BB14" s="9"/>
      <c r="BC14" s="10"/>
      <c r="BD14" s="11"/>
      <c r="BF14" s="9"/>
      <c r="BG14" s="10"/>
      <c r="BH14" s="11"/>
      <c r="BJ14" s="9"/>
      <c r="BK14" s="10"/>
      <c r="BL14" s="11"/>
      <c r="BN14" s="9"/>
      <c r="BO14" s="10"/>
      <c r="BP14" s="11"/>
      <c r="BR14" s="9"/>
      <c r="BS14" s="10"/>
      <c r="BT14" s="11"/>
      <c r="BV14" s="9"/>
      <c r="BW14" s="10"/>
      <c r="BX14" s="11"/>
      <c r="BZ14" s="9"/>
      <c r="CA14" s="10"/>
      <c r="CB14" s="11"/>
      <c r="CD14" s="9"/>
      <c r="CE14" s="10"/>
      <c r="CF14" s="11"/>
      <c r="CH14" s="9"/>
      <c r="CI14" s="10"/>
      <c r="CJ14" s="11"/>
      <c r="CL14" s="9"/>
      <c r="CM14" s="10"/>
      <c r="CN14" s="11"/>
      <c r="CP14" s="9"/>
      <c r="CQ14" s="10"/>
      <c r="CR14" s="11"/>
      <c r="CT14" s="9"/>
      <c r="CU14" s="10"/>
      <c r="CV14" s="11"/>
      <c r="CX14" s="9"/>
      <c r="CY14" s="10"/>
      <c r="CZ14" s="11"/>
    </row>
    <row r="15" spans="1:104">
      <c r="A15" s="122">
        <v>44576</v>
      </c>
      <c r="B15" s="78">
        <v>7175</v>
      </c>
      <c r="C15" s="11"/>
      <c r="E15" s="9"/>
      <c r="F15" s="10"/>
      <c r="G15" s="11"/>
      <c r="I15" s="9"/>
      <c r="J15" s="10"/>
      <c r="K15" s="11"/>
      <c r="M15" s="9"/>
      <c r="N15" s="10"/>
      <c r="O15" s="11"/>
      <c r="Q15" s="9"/>
      <c r="R15" s="10"/>
      <c r="S15" s="11"/>
      <c r="T15" s="12"/>
      <c r="U15" s="9"/>
      <c r="V15" s="10"/>
      <c r="W15" s="11"/>
      <c r="Y15" s="9"/>
      <c r="Z15" s="10"/>
      <c r="AA15" s="11"/>
      <c r="AC15" s="9"/>
      <c r="AD15" s="9"/>
      <c r="AE15" s="10"/>
      <c r="AF15" s="11"/>
      <c r="AH15" s="9"/>
      <c r="AI15" s="10"/>
      <c r="AJ15" s="11"/>
      <c r="AL15" s="9"/>
      <c r="AM15" s="10"/>
      <c r="AN15" s="11"/>
      <c r="AP15" s="9"/>
      <c r="AQ15" s="10"/>
      <c r="AR15" s="11"/>
      <c r="AT15" s="9"/>
      <c r="AU15" s="10"/>
      <c r="AV15" s="11"/>
      <c r="AX15" s="9"/>
      <c r="AY15" s="10"/>
      <c r="AZ15" s="11"/>
      <c r="BB15" s="9"/>
      <c r="BC15" s="10"/>
      <c r="BD15" s="11"/>
      <c r="BF15" s="9"/>
      <c r="BG15" s="10"/>
      <c r="BH15" s="11"/>
      <c r="BJ15" s="9"/>
      <c r="BK15" s="10"/>
      <c r="BL15" s="11"/>
      <c r="BN15" s="9"/>
      <c r="BO15" s="10"/>
      <c r="BP15" s="11"/>
      <c r="BR15" s="9"/>
      <c r="BS15" s="10"/>
      <c r="BT15" s="11"/>
      <c r="BV15" s="9"/>
      <c r="BW15" s="10"/>
      <c r="BX15" s="11"/>
      <c r="BZ15" s="9"/>
      <c r="CA15" s="10"/>
      <c r="CB15" s="11"/>
      <c r="CD15" s="9"/>
      <c r="CE15" s="10"/>
      <c r="CF15" s="11"/>
      <c r="CH15" s="9"/>
      <c r="CI15" s="10"/>
      <c r="CJ15" s="11"/>
      <c r="CL15" s="9"/>
      <c r="CM15" s="10"/>
      <c r="CN15" s="11"/>
      <c r="CP15" s="9"/>
      <c r="CQ15" s="10"/>
      <c r="CR15" s="11"/>
      <c r="CT15" s="9"/>
      <c r="CU15" s="10"/>
      <c r="CV15" s="11"/>
      <c r="CX15" s="9"/>
      <c r="CY15" s="10"/>
      <c r="CZ15" s="11"/>
    </row>
    <row r="16" spans="1:104">
      <c r="A16" s="122">
        <v>44576</v>
      </c>
      <c r="B16" s="78">
        <v>275</v>
      </c>
      <c r="C16" s="11"/>
      <c r="E16" s="9"/>
      <c r="F16" s="10"/>
      <c r="G16" s="11"/>
      <c r="I16" s="9"/>
      <c r="J16" s="10"/>
      <c r="K16" s="11"/>
      <c r="M16" s="9"/>
      <c r="N16" s="10"/>
      <c r="O16" s="11"/>
      <c r="Q16" s="9"/>
      <c r="R16" s="10"/>
      <c r="S16" s="11"/>
      <c r="T16" s="12"/>
      <c r="U16" s="9"/>
      <c r="V16" s="10"/>
      <c r="W16" s="11"/>
      <c r="Y16" s="9"/>
      <c r="Z16" s="10"/>
      <c r="AA16" s="11"/>
      <c r="AC16" s="9"/>
      <c r="AD16" s="9"/>
      <c r="AE16" s="10"/>
      <c r="AF16" s="11"/>
      <c r="AH16" s="9"/>
      <c r="AI16" s="10"/>
      <c r="AJ16" s="11"/>
      <c r="AL16" s="9"/>
      <c r="AM16" s="10"/>
      <c r="AN16" s="11"/>
      <c r="AP16" s="9"/>
      <c r="AQ16" s="10"/>
      <c r="AR16" s="11"/>
      <c r="AT16" s="9"/>
      <c r="AU16" s="10"/>
      <c r="AV16" s="11"/>
      <c r="AX16" s="9"/>
      <c r="AY16" s="10"/>
      <c r="AZ16" s="11"/>
      <c r="BB16" s="9"/>
      <c r="BC16" s="10"/>
      <c r="BD16" s="11"/>
      <c r="BF16" s="9"/>
      <c r="BG16" s="10"/>
      <c r="BH16" s="11"/>
      <c r="BJ16" s="9"/>
      <c r="BK16" s="10"/>
      <c r="BL16" s="11"/>
      <c r="BN16" s="9"/>
      <c r="BO16" s="10"/>
      <c r="BP16" s="11"/>
      <c r="BR16" s="9"/>
      <c r="BS16" s="10"/>
      <c r="BT16" s="11"/>
      <c r="BV16" s="9"/>
      <c r="BW16" s="10"/>
      <c r="BX16" s="11"/>
      <c r="BZ16" s="9"/>
      <c r="CA16" s="10"/>
      <c r="CB16" s="11"/>
      <c r="CD16" s="9"/>
      <c r="CE16" s="10"/>
      <c r="CF16" s="11"/>
      <c r="CH16" s="9"/>
      <c r="CI16" s="10"/>
      <c r="CJ16" s="11"/>
      <c r="CL16" s="9"/>
      <c r="CM16" s="10"/>
      <c r="CN16" s="11"/>
      <c r="CP16" s="9"/>
      <c r="CQ16" s="10"/>
      <c r="CR16" s="11"/>
      <c r="CT16" s="9"/>
      <c r="CU16" s="10"/>
      <c r="CV16" s="11"/>
      <c r="CX16" s="9"/>
      <c r="CY16" s="10"/>
      <c r="CZ16" s="11"/>
    </row>
    <row r="17" spans="1:104">
      <c r="A17" s="122">
        <v>44577</v>
      </c>
      <c r="B17" s="78">
        <v>650</v>
      </c>
      <c r="C17" s="11"/>
      <c r="E17" s="9"/>
      <c r="F17" s="10"/>
      <c r="G17" s="11"/>
      <c r="I17" s="9"/>
      <c r="J17" s="10"/>
      <c r="K17" s="11"/>
      <c r="M17" s="9"/>
      <c r="N17" s="10"/>
      <c r="O17" s="11"/>
      <c r="Q17" s="9"/>
      <c r="R17" s="10"/>
      <c r="S17" s="11"/>
      <c r="T17" s="12"/>
      <c r="U17" s="9"/>
      <c r="V17" s="10"/>
      <c r="W17" s="11"/>
      <c r="Y17" s="9"/>
      <c r="Z17" s="10"/>
      <c r="AA17" s="11"/>
      <c r="AC17" s="9"/>
      <c r="AD17" s="9"/>
      <c r="AE17" s="10"/>
      <c r="AF17" s="11"/>
      <c r="AH17" s="9"/>
      <c r="AI17" s="10"/>
      <c r="AJ17" s="11"/>
      <c r="AL17" s="9"/>
      <c r="AM17" s="10"/>
      <c r="AN17" s="11"/>
      <c r="AP17" s="9"/>
      <c r="AQ17" s="10"/>
      <c r="AR17" s="11"/>
      <c r="AT17" s="9"/>
      <c r="AU17" s="10"/>
      <c r="AV17" s="11"/>
      <c r="AX17" s="9"/>
      <c r="AY17" s="10"/>
      <c r="AZ17" s="11"/>
      <c r="BB17" s="9"/>
      <c r="BC17" s="10"/>
      <c r="BD17" s="11"/>
      <c r="BF17" s="9"/>
      <c r="BG17" s="10"/>
      <c r="BH17" s="11"/>
      <c r="BJ17" s="9"/>
      <c r="BK17" s="10"/>
      <c r="BL17" s="11"/>
      <c r="BN17" s="9"/>
      <c r="BO17" s="10"/>
      <c r="BP17" s="11"/>
      <c r="BR17" s="9"/>
      <c r="BS17" s="10"/>
      <c r="BT17" s="11"/>
      <c r="BV17" s="9"/>
      <c r="BW17" s="10"/>
      <c r="BX17" s="11"/>
      <c r="BZ17" s="9"/>
      <c r="CA17" s="10"/>
      <c r="CB17" s="11"/>
      <c r="CD17" s="9"/>
      <c r="CE17" s="10"/>
      <c r="CF17" s="11"/>
      <c r="CH17" s="9"/>
      <c r="CI17" s="10"/>
      <c r="CJ17" s="11"/>
      <c r="CL17" s="9"/>
      <c r="CM17" s="10"/>
      <c r="CN17" s="11"/>
      <c r="CP17" s="9"/>
      <c r="CQ17" s="10"/>
      <c r="CR17" s="11"/>
      <c r="CT17" s="9"/>
      <c r="CU17" s="10"/>
      <c r="CV17" s="11"/>
      <c r="CX17" s="9"/>
      <c r="CY17" s="10"/>
      <c r="CZ17" s="11"/>
    </row>
    <row r="18" spans="1:104">
      <c r="A18" s="122">
        <v>44583</v>
      </c>
      <c r="B18" s="78">
        <v>7175</v>
      </c>
      <c r="C18" s="11"/>
      <c r="E18" s="9"/>
      <c r="F18" s="10"/>
      <c r="G18" s="11"/>
      <c r="I18" s="9"/>
      <c r="J18" s="10"/>
      <c r="K18" s="11"/>
      <c r="M18" s="9"/>
      <c r="N18" s="10"/>
      <c r="O18" s="11"/>
      <c r="Q18" s="9"/>
      <c r="R18" s="10"/>
      <c r="S18" s="11"/>
      <c r="T18" s="12"/>
      <c r="U18" s="9"/>
      <c r="V18" s="10"/>
      <c r="W18" s="11"/>
      <c r="Y18" s="9"/>
      <c r="Z18" s="10"/>
      <c r="AA18" s="11"/>
      <c r="AC18" s="9"/>
      <c r="AD18" s="9"/>
      <c r="AE18" s="10"/>
      <c r="AF18" s="11"/>
      <c r="AH18" s="9"/>
      <c r="AI18" s="10"/>
      <c r="AJ18" s="11"/>
      <c r="AL18" s="9"/>
      <c r="AM18" s="10"/>
      <c r="AN18" s="11"/>
      <c r="AP18" s="9"/>
      <c r="AQ18" s="10"/>
      <c r="AR18" s="11"/>
      <c r="AT18" s="9"/>
      <c r="AU18" s="10"/>
      <c r="AV18" s="11"/>
      <c r="AX18" s="9"/>
      <c r="AY18" s="10"/>
      <c r="AZ18" s="11"/>
      <c r="BB18" s="9"/>
      <c r="BC18" s="10"/>
      <c r="BD18" s="11"/>
      <c r="BF18" s="9"/>
      <c r="BG18" s="10"/>
      <c r="BH18" s="11"/>
      <c r="BJ18" s="9"/>
      <c r="BK18" s="10"/>
      <c r="BL18" s="11"/>
      <c r="BN18" s="9"/>
      <c r="BO18" s="10"/>
      <c r="BP18" s="11"/>
      <c r="BR18" s="9"/>
      <c r="BS18" s="10"/>
      <c r="BT18" s="11"/>
      <c r="BV18" s="9"/>
      <c r="BW18" s="10"/>
      <c r="BX18" s="11"/>
      <c r="BZ18" s="9"/>
      <c r="CA18" s="10"/>
      <c r="CB18" s="11"/>
      <c r="CD18" s="9"/>
      <c r="CE18" s="10"/>
      <c r="CF18" s="11"/>
      <c r="CH18" s="9"/>
      <c r="CI18" s="10"/>
      <c r="CJ18" s="11"/>
      <c r="CL18" s="9"/>
      <c r="CM18" s="10"/>
      <c r="CN18" s="11"/>
      <c r="CP18" s="9"/>
      <c r="CQ18" s="10"/>
      <c r="CR18" s="11"/>
      <c r="CT18" s="9"/>
      <c r="CU18" s="10"/>
      <c r="CV18" s="11"/>
      <c r="CX18" s="9"/>
      <c r="CY18" s="10"/>
      <c r="CZ18" s="11"/>
    </row>
    <row r="19" spans="1:104">
      <c r="A19" s="122">
        <v>44583</v>
      </c>
      <c r="B19" s="78">
        <v>275</v>
      </c>
      <c r="C19" s="11"/>
      <c r="E19" s="9"/>
      <c r="F19" s="10"/>
      <c r="G19" s="11"/>
      <c r="I19" s="9"/>
      <c r="J19" s="10"/>
      <c r="K19" s="11"/>
      <c r="M19" s="9"/>
      <c r="N19" s="10"/>
      <c r="O19" s="11"/>
      <c r="Q19" s="9"/>
      <c r="R19" s="10"/>
      <c r="S19" s="11"/>
      <c r="T19" s="12"/>
      <c r="U19" s="9"/>
      <c r="V19" s="10"/>
      <c r="W19" s="11"/>
      <c r="Y19" s="9"/>
      <c r="Z19" s="10"/>
      <c r="AA19" s="11"/>
      <c r="AC19" s="9"/>
      <c r="AD19" s="9"/>
      <c r="AE19" s="10"/>
      <c r="AF19" s="11"/>
      <c r="AH19" s="9"/>
      <c r="AI19" s="10"/>
      <c r="AJ19" s="11"/>
      <c r="AL19" s="9"/>
      <c r="AM19" s="10"/>
      <c r="AN19" s="11"/>
      <c r="AP19" s="9"/>
      <c r="AQ19" s="10"/>
      <c r="AR19" s="11"/>
      <c r="AT19" s="9"/>
      <c r="AU19" s="10"/>
      <c r="AV19" s="11"/>
      <c r="AX19" s="9"/>
      <c r="AY19" s="10"/>
      <c r="AZ19" s="11"/>
      <c r="BB19" s="9"/>
      <c r="BC19" s="10"/>
      <c r="BD19" s="11"/>
      <c r="BF19" s="9"/>
      <c r="BG19" s="10"/>
      <c r="BH19" s="11"/>
      <c r="BJ19" s="9"/>
      <c r="BK19" s="10"/>
      <c r="BL19" s="11"/>
      <c r="BN19" s="9"/>
      <c r="BO19" s="10"/>
      <c r="BP19" s="11"/>
      <c r="BR19" s="9"/>
      <c r="BS19" s="10"/>
      <c r="BT19" s="11"/>
      <c r="BV19" s="9"/>
      <c r="BW19" s="10"/>
      <c r="BX19" s="11"/>
      <c r="BZ19" s="9"/>
      <c r="CA19" s="10"/>
      <c r="CB19" s="11"/>
      <c r="CD19" s="9"/>
      <c r="CE19" s="10"/>
      <c r="CF19" s="11"/>
      <c r="CH19" s="9"/>
      <c r="CI19" s="10"/>
      <c r="CJ19" s="11"/>
      <c r="CL19" s="9"/>
      <c r="CM19" s="10"/>
      <c r="CN19" s="11"/>
      <c r="CP19" s="9"/>
      <c r="CQ19" s="10"/>
      <c r="CR19" s="11"/>
      <c r="CT19" s="9"/>
      <c r="CU19" s="10"/>
      <c r="CV19" s="11"/>
      <c r="CX19" s="9"/>
      <c r="CY19" s="10"/>
      <c r="CZ19" s="11"/>
    </row>
    <row r="20" spans="1:104">
      <c r="A20" s="122">
        <v>44583</v>
      </c>
      <c r="B20" s="78">
        <v>650</v>
      </c>
      <c r="C20" s="11"/>
      <c r="E20" s="9"/>
      <c r="F20" s="10"/>
      <c r="G20" s="11"/>
      <c r="I20" s="9"/>
      <c r="J20" s="10"/>
      <c r="K20" s="11"/>
      <c r="M20" s="9"/>
      <c r="N20" s="10"/>
      <c r="O20" s="11"/>
      <c r="Q20" s="9"/>
      <c r="R20" s="10"/>
      <c r="S20" s="11"/>
      <c r="T20" s="12"/>
      <c r="U20" s="9"/>
      <c r="V20" s="10"/>
      <c r="W20" s="11"/>
      <c r="Y20" s="9"/>
      <c r="Z20" s="10"/>
      <c r="AA20" s="11"/>
      <c r="AC20" s="9"/>
      <c r="AD20" s="9"/>
      <c r="AE20" s="10"/>
      <c r="AF20" s="11"/>
      <c r="AH20" s="9"/>
      <c r="AI20" s="10"/>
      <c r="AJ20" s="11"/>
      <c r="AL20" s="9"/>
      <c r="AM20" s="10"/>
      <c r="AN20" s="11"/>
      <c r="AP20" s="9"/>
      <c r="AQ20" s="10"/>
      <c r="AR20" s="11"/>
      <c r="AT20" s="9"/>
      <c r="AU20" s="10"/>
      <c r="AV20" s="11"/>
      <c r="AX20" s="9"/>
      <c r="AY20" s="10"/>
      <c r="AZ20" s="11"/>
      <c r="BB20" s="9"/>
      <c r="BC20" s="10"/>
      <c r="BD20" s="11"/>
      <c r="BF20" s="9"/>
      <c r="BG20" s="10"/>
      <c r="BH20" s="11"/>
      <c r="BJ20" s="9"/>
      <c r="BK20" s="10"/>
      <c r="BL20" s="11"/>
      <c r="BN20" s="9"/>
      <c r="BO20" s="10"/>
      <c r="BP20" s="11"/>
      <c r="BR20" s="9"/>
      <c r="BS20" s="10"/>
      <c r="BT20" s="11"/>
      <c r="BV20" s="9"/>
      <c r="BW20" s="10"/>
      <c r="BX20" s="11"/>
      <c r="BZ20" s="9"/>
      <c r="CA20" s="10"/>
      <c r="CB20" s="11"/>
      <c r="CD20" s="9"/>
      <c r="CE20" s="10"/>
      <c r="CF20" s="11"/>
      <c r="CH20" s="9"/>
      <c r="CI20" s="10"/>
      <c r="CJ20" s="11"/>
      <c r="CL20" s="9"/>
      <c r="CM20" s="10"/>
      <c r="CN20" s="11"/>
      <c r="CP20" s="9"/>
      <c r="CQ20" s="10"/>
      <c r="CR20" s="11"/>
      <c r="CT20" s="9"/>
      <c r="CU20" s="10"/>
      <c r="CV20" s="11"/>
      <c r="CX20" s="9"/>
      <c r="CY20" s="10"/>
      <c r="CZ20" s="11"/>
    </row>
    <row r="21" spans="1:104">
      <c r="A21" s="122">
        <v>44590</v>
      </c>
      <c r="B21" s="78">
        <v>7175</v>
      </c>
      <c r="C21" s="11"/>
      <c r="E21" s="9"/>
      <c r="F21" s="10"/>
      <c r="G21" s="11"/>
      <c r="I21" s="9"/>
      <c r="J21" s="10"/>
      <c r="K21" s="11"/>
      <c r="M21" s="9"/>
      <c r="N21" s="10"/>
      <c r="O21" s="11"/>
      <c r="Q21" s="9"/>
      <c r="R21" s="10"/>
      <c r="S21" s="11"/>
      <c r="T21" s="12"/>
      <c r="U21" s="9"/>
      <c r="V21" s="10"/>
      <c r="W21" s="11"/>
      <c r="Y21" s="9"/>
      <c r="Z21" s="10"/>
      <c r="AA21" s="11"/>
      <c r="AC21" s="9"/>
      <c r="AD21" s="9"/>
      <c r="AE21" s="10"/>
      <c r="AF21" s="11"/>
      <c r="AH21" s="9"/>
      <c r="AI21" s="10"/>
      <c r="AJ21" s="11"/>
      <c r="AL21" s="9"/>
      <c r="AM21" s="10"/>
      <c r="AN21" s="11"/>
      <c r="AP21" s="9"/>
      <c r="AQ21" s="10"/>
      <c r="AR21" s="11"/>
      <c r="AT21" s="9"/>
      <c r="AU21" s="10"/>
      <c r="AV21" s="11"/>
      <c r="AX21" s="9"/>
      <c r="AY21" s="10"/>
      <c r="AZ21" s="11"/>
      <c r="BB21" s="9"/>
      <c r="BC21" s="10"/>
      <c r="BD21" s="11"/>
      <c r="BF21" s="9"/>
      <c r="BG21" s="10"/>
      <c r="BH21" s="11"/>
      <c r="BJ21" s="9"/>
      <c r="BK21" s="10"/>
      <c r="BL21" s="11"/>
      <c r="BN21" s="9"/>
      <c r="BO21" s="10"/>
      <c r="BP21" s="11"/>
      <c r="BR21" s="9"/>
      <c r="BS21" s="10"/>
      <c r="BT21" s="11"/>
      <c r="BV21" s="9"/>
      <c r="BW21" s="10"/>
      <c r="BX21" s="11"/>
      <c r="BZ21" s="9"/>
      <c r="CA21" s="10"/>
      <c r="CB21" s="11"/>
      <c r="CD21" s="9"/>
      <c r="CE21" s="10"/>
      <c r="CF21" s="11"/>
      <c r="CH21" s="9"/>
      <c r="CI21" s="10"/>
      <c r="CJ21" s="11"/>
      <c r="CL21" s="9"/>
      <c r="CM21" s="10"/>
      <c r="CN21" s="11"/>
      <c r="CP21" s="9"/>
      <c r="CQ21" s="10"/>
      <c r="CR21" s="11"/>
      <c r="CT21" s="9"/>
      <c r="CU21" s="10"/>
      <c r="CV21" s="11"/>
      <c r="CX21" s="9"/>
      <c r="CY21" s="10"/>
      <c r="CZ21" s="11"/>
    </row>
    <row r="22" spans="1:104">
      <c r="A22" s="122">
        <v>44590</v>
      </c>
      <c r="B22" s="78">
        <v>275</v>
      </c>
      <c r="C22" s="11"/>
      <c r="E22" s="9"/>
      <c r="F22" s="10"/>
      <c r="G22" s="11"/>
      <c r="I22" s="9"/>
      <c r="J22" s="10"/>
      <c r="K22" s="11"/>
      <c r="M22" s="9"/>
      <c r="N22" s="10"/>
      <c r="O22" s="11"/>
      <c r="Q22" s="9"/>
      <c r="R22" s="10"/>
      <c r="S22" s="11"/>
      <c r="T22" s="12"/>
      <c r="U22" s="9"/>
      <c r="V22" s="10"/>
      <c r="W22" s="11"/>
      <c r="Y22" s="9"/>
      <c r="Z22" s="10"/>
      <c r="AA22" s="11"/>
      <c r="AC22" s="9"/>
      <c r="AD22" s="9"/>
      <c r="AE22" s="10"/>
      <c r="AF22" s="11"/>
      <c r="AH22" s="9"/>
      <c r="AI22" s="10"/>
      <c r="AJ22" s="11"/>
      <c r="AL22" s="9"/>
      <c r="AM22" s="10"/>
      <c r="AN22" s="11"/>
      <c r="AP22" s="9"/>
      <c r="AQ22" s="10"/>
      <c r="AR22" s="11"/>
      <c r="AT22" s="9"/>
      <c r="AU22" s="10"/>
      <c r="AV22" s="11"/>
      <c r="AX22" s="9"/>
      <c r="AY22" s="10"/>
      <c r="AZ22" s="11"/>
      <c r="BB22" s="9"/>
      <c r="BC22" s="10"/>
      <c r="BD22" s="11"/>
      <c r="BF22" s="9"/>
      <c r="BG22" s="10"/>
      <c r="BH22" s="11"/>
      <c r="BJ22" s="9"/>
      <c r="BK22" s="10"/>
      <c r="BL22" s="11"/>
      <c r="BN22" s="9"/>
      <c r="BO22" s="10"/>
      <c r="BP22" s="11"/>
      <c r="BR22" s="9"/>
      <c r="BS22" s="10"/>
      <c r="BT22" s="11"/>
      <c r="BV22" s="9"/>
      <c r="BW22" s="10"/>
      <c r="BX22" s="11"/>
      <c r="BZ22" s="9"/>
      <c r="CA22" s="10"/>
      <c r="CB22" s="11"/>
      <c r="CD22" s="9"/>
      <c r="CE22" s="10"/>
      <c r="CF22" s="11"/>
      <c r="CH22" s="9"/>
      <c r="CI22" s="10"/>
      <c r="CJ22" s="11"/>
      <c r="CL22" s="9"/>
      <c r="CM22" s="10"/>
      <c r="CN22" s="11"/>
      <c r="CP22" s="9"/>
      <c r="CQ22" s="10"/>
      <c r="CR22" s="11"/>
      <c r="CT22" s="9"/>
      <c r="CU22" s="10"/>
      <c r="CV22" s="11"/>
      <c r="CX22" s="9"/>
      <c r="CY22" s="10"/>
      <c r="CZ22" s="11"/>
    </row>
    <row r="23" spans="1:104">
      <c r="A23" s="122">
        <v>44590</v>
      </c>
      <c r="B23" s="78">
        <v>650</v>
      </c>
      <c r="C23" s="11"/>
      <c r="E23" s="9"/>
      <c r="F23" s="10"/>
      <c r="G23" s="11"/>
      <c r="I23" s="9"/>
      <c r="J23" s="10"/>
      <c r="K23" s="11"/>
      <c r="M23" s="9"/>
      <c r="N23" s="10"/>
      <c r="O23" s="11"/>
      <c r="Q23" s="9"/>
      <c r="R23" s="10"/>
      <c r="S23" s="11"/>
      <c r="T23" s="12"/>
      <c r="U23" s="9"/>
      <c r="V23" s="10"/>
      <c r="W23" s="11"/>
      <c r="Y23" s="9"/>
      <c r="Z23" s="10"/>
      <c r="AA23" s="11"/>
      <c r="AC23" s="9"/>
      <c r="AD23" s="9"/>
      <c r="AE23" s="10"/>
      <c r="AF23" s="11"/>
      <c r="AH23" s="9"/>
      <c r="AI23" s="10"/>
      <c r="AJ23" s="11"/>
      <c r="AL23" s="9"/>
      <c r="AM23" s="10"/>
      <c r="AN23" s="11"/>
      <c r="AP23" s="9"/>
      <c r="AQ23" s="10"/>
      <c r="AR23" s="11"/>
      <c r="AT23" s="9"/>
      <c r="AU23" s="10"/>
      <c r="AV23" s="11"/>
      <c r="AX23" s="9"/>
      <c r="AY23" s="10"/>
      <c r="AZ23" s="11"/>
      <c r="BB23" s="9"/>
      <c r="BC23" s="10"/>
      <c r="BD23" s="11"/>
      <c r="BF23" s="9"/>
      <c r="BG23" s="10"/>
      <c r="BH23" s="11"/>
      <c r="BJ23" s="9"/>
      <c r="BK23" s="10"/>
      <c r="BL23" s="11"/>
      <c r="BN23" s="9"/>
      <c r="BO23" s="10"/>
      <c r="BP23" s="11"/>
      <c r="BR23" s="9"/>
      <c r="BS23" s="10"/>
      <c r="BT23" s="11"/>
      <c r="BV23" s="9"/>
      <c r="BW23" s="10"/>
      <c r="BX23" s="11"/>
      <c r="BZ23" s="9"/>
      <c r="CA23" s="10"/>
      <c r="CB23" s="11"/>
      <c r="CD23" s="9"/>
      <c r="CE23" s="10"/>
      <c r="CF23" s="11"/>
      <c r="CH23" s="9"/>
      <c r="CI23" s="10"/>
      <c r="CJ23" s="11"/>
      <c r="CL23" s="9"/>
      <c r="CM23" s="10"/>
      <c r="CN23" s="11"/>
      <c r="CP23" s="9"/>
      <c r="CQ23" s="10"/>
      <c r="CR23" s="11"/>
      <c r="CT23" s="9"/>
      <c r="CU23" s="10"/>
      <c r="CV23" s="11"/>
      <c r="CX23" s="9"/>
      <c r="CY23" s="10"/>
      <c r="CZ23" s="11"/>
    </row>
    <row r="24" spans="1:104">
      <c r="A24" s="122">
        <v>44592</v>
      </c>
      <c r="B24" s="78"/>
      <c r="C24" s="11">
        <v>5100</v>
      </c>
      <c r="E24" s="9"/>
      <c r="F24" s="10"/>
      <c r="G24" s="11"/>
      <c r="I24" s="9"/>
      <c r="J24" s="10"/>
      <c r="K24" s="11"/>
      <c r="M24" s="9"/>
      <c r="N24" s="10"/>
      <c r="O24" s="11"/>
      <c r="Q24" s="9"/>
      <c r="R24" s="10"/>
      <c r="S24" s="11"/>
      <c r="T24" s="12"/>
      <c r="U24" s="9"/>
      <c r="V24" s="10"/>
      <c r="W24" s="11"/>
      <c r="Y24" s="9"/>
      <c r="Z24" s="10"/>
      <c r="AA24" s="11"/>
      <c r="AC24" s="9"/>
      <c r="AD24" s="9"/>
      <c r="AE24" s="10"/>
      <c r="AF24" s="11"/>
      <c r="AH24" s="9"/>
      <c r="AI24" s="10"/>
      <c r="AJ24" s="11"/>
      <c r="AL24" s="9"/>
      <c r="AM24" s="10"/>
      <c r="AN24" s="11"/>
      <c r="AP24" s="9"/>
      <c r="AQ24" s="10"/>
      <c r="AR24" s="11"/>
      <c r="AT24" s="9"/>
      <c r="AU24" s="10"/>
      <c r="AV24" s="11"/>
      <c r="AX24" s="9"/>
      <c r="AY24" s="10"/>
      <c r="AZ24" s="11"/>
      <c r="BB24" s="9"/>
      <c r="BC24" s="10"/>
      <c r="BD24" s="11"/>
      <c r="BF24" s="9"/>
      <c r="BG24" s="10"/>
      <c r="BH24" s="11"/>
      <c r="BJ24" s="9"/>
      <c r="BK24" s="10"/>
      <c r="BL24" s="11"/>
      <c r="BN24" s="9"/>
      <c r="BO24" s="10"/>
      <c r="BP24" s="11"/>
      <c r="BR24" s="9"/>
      <c r="BS24" s="10"/>
      <c r="BT24" s="11"/>
      <c r="BV24" s="9"/>
      <c r="BW24" s="10"/>
      <c r="BX24" s="11"/>
      <c r="BZ24" s="9"/>
      <c r="CA24" s="10"/>
      <c r="CB24" s="11"/>
      <c r="CD24" s="9"/>
      <c r="CE24" s="10"/>
      <c r="CF24" s="11"/>
      <c r="CH24" s="9"/>
      <c r="CI24" s="10"/>
      <c r="CJ24" s="11"/>
      <c r="CL24" s="9"/>
      <c r="CM24" s="10"/>
      <c r="CN24" s="11"/>
      <c r="CP24" s="9"/>
      <c r="CQ24" s="10"/>
      <c r="CR24" s="11"/>
      <c r="CT24" s="9"/>
      <c r="CU24" s="10"/>
      <c r="CV24" s="11"/>
      <c r="CX24" s="9"/>
      <c r="CY24" s="10"/>
      <c r="CZ24" s="11"/>
    </row>
    <row r="25" spans="1:104">
      <c r="A25" s="122">
        <v>44592</v>
      </c>
      <c r="B25" s="78"/>
      <c r="C25" s="11">
        <v>2600</v>
      </c>
      <c r="E25" s="9"/>
      <c r="F25" s="10"/>
      <c r="G25" s="11"/>
      <c r="I25" s="9"/>
      <c r="J25" s="10"/>
      <c r="K25" s="11"/>
      <c r="M25" s="9"/>
      <c r="N25" s="10"/>
      <c r="O25" s="11"/>
      <c r="Q25" s="9"/>
      <c r="R25" s="10"/>
      <c r="S25" s="11"/>
      <c r="T25" s="12"/>
      <c r="U25" s="9"/>
      <c r="V25" s="10"/>
      <c r="W25" s="11"/>
      <c r="Y25" s="9"/>
      <c r="Z25" s="10"/>
      <c r="AA25" s="11"/>
      <c r="AC25" s="9"/>
      <c r="AD25" s="9"/>
      <c r="AE25" s="10"/>
      <c r="AF25" s="11"/>
      <c r="AH25" s="9"/>
      <c r="AI25" s="10"/>
      <c r="AJ25" s="11"/>
      <c r="AL25" s="9"/>
      <c r="AM25" s="10"/>
      <c r="AN25" s="11"/>
      <c r="AP25" s="9"/>
      <c r="AQ25" s="10"/>
      <c r="AR25" s="11"/>
      <c r="AT25" s="9"/>
      <c r="AU25" s="10"/>
      <c r="AV25" s="11"/>
      <c r="AX25" s="9"/>
      <c r="AY25" s="10"/>
      <c r="AZ25" s="11"/>
      <c r="BB25" s="9"/>
      <c r="BC25" s="10"/>
      <c r="BD25" s="11"/>
      <c r="BF25" s="9"/>
      <c r="BG25" s="10"/>
      <c r="BH25" s="11"/>
      <c r="BJ25" s="9"/>
      <c r="BK25" s="10"/>
      <c r="BL25" s="11"/>
      <c r="BN25" s="9"/>
      <c r="BO25" s="10"/>
      <c r="BP25" s="11"/>
      <c r="BR25" s="9"/>
      <c r="BS25" s="10"/>
      <c r="BT25" s="11"/>
      <c r="BV25" s="9"/>
      <c r="BW25" s="10"/>
      <c r="BX25" s="11"/>
      <c r="BZ25" s="9"/>
      <c r="CA25" s="10"/>
      <c r="CB25" s="11"/>
      <c r="CD25" s="9"/>
      <c r="CE25" s="10"/>
      <c r="CF25" s="11"/>
      <c r="CH25" s="9"/>
      <c r="CI25" s="10"/>
      <c r="CJ25" s="11"/>
      <c r="CL25" s="9"/>
      <c r="CM25" s="10"/>
      <c r="CN25" s="11"/>
      <c r="CP25" s="9"/>
      <c r="CQ25" s="10"/>
      <c r="CR25" s="11"/>
      <c r="CT25" s="9"/>
      <c r="CU25" s="10"/>
      <c r="CV25" s="11"/>
      <c r="CX25" s="9"/>
      <c r="CY25" s="10"/>
      <c r="CZ25" s="11"/>
    </row>
    <row r="26" spans="1:104">
      <c r="A26" s="122">
        <v>44592</v>
      </c>
      <c r="B26" s="78"/>
      <c r="C26" s="11">
        <v>6000</v>
      </c>
      <c r="E26" s="9"/>
      <c r="F26" s="10"/>
      <c r="G26" s="11"/>
      <c r="I26" s="9"/>
      <c r="J26" s="10"/>
      <c r="K26" s="11"/>
      <c r="M26" s="9"/>
      <c r="N26" s="10"/>
      <c r="O26" s="11"/>
      <c r="Q26" s="9"/>
      <c r="R26" s="10"/>
      <c r="S26" s="11"/>
      <c r="T26" s="12"/>
      <c r="U26" s="9"/>
      <c r="V26" s="10"/>
      <c r="W26" s="11"/>
      <c r="Y26" s="9"/>
      <c r="Z26" s="10"/>
      <c r="AA26" s="11"/>
      <c r="AC26" s="9"/>
      <c r="AD26" s="9"/>
      <c r="AE26" s="10"/>
      <c r="AF26" s="11"/>
      <c r="AH26" s="9"/>
      <c r="AI26" s="10"/>
      <c r="AJ26" s="11"/>
      <c r="AL26" s="9"/>
      <c r="AM26" s="10"/>
      <c r="AN26" s="11"/>
      <c r="AP26" s="9"/>
      <c r="AQ26" s="10"/>
      <c r="AR26" s="11"/>
      <c r="AT26" s="9"/>
      <c r="AU26" s="10"/>
      <c r="AV26" s="11"/>
      <c r="AX26" s="9"/>
      <c r="AY26" s="10"/>
      <c r="AZ26" s="11"/>
      <c r="BB26" s="9"/>
      <c r="BC26" s="10"/>
      <c r="BD26" s="11"/>
      <c r="BF26" s="9"/>
      <c r="BG26" s="10"/>
      <c r="BH26" s="11"/>
      <c r="BJ26" s="9"/>
      <c r="BK26" s="10"/>
      <c r="BL26" s="11"/>
      <c r="BN26" s="9"/>
      <c r="BO26" s="10"/>
      <c r="BP26" s="11"/>
      <c r="BR26" s="9"/>
      <c r="BS26" s="10"/>
      <c r="BT26" s="11"/>
      <c r="BV26" s="9"/>
      <c r="BW26" s="10"/>
      <c r="BX26" s="11"/>
      <c r="BZ26" s="9"/>
      <c r="CA26" s="10"/>
      <c r="CB26" s="11"/>
      <c r="CD26" s="9"/>
      <c r="CE26" s="10"/>
      <c r="CF26" s="11"/>
      <c r="CH26" s="9"/>
      <c r="CI26" s="10"/>
      <c r="CJ26" s="11"/>
      <c r="CL26" s="9"/>
      <c r="CM26" s="10"/>
      <c r="CN26" s="11"/>
      <c r="CP26" s="9"/>
      <c r="CQ26" s="10"/>
      <c r="CR26" s="11"/>
      <c r="CT26" s="9"/>
      <c r="CU26" s="10"/>
      <c r="CV26" s="11"/>
      <c r="CX26" s="9"/>
      <c r="CY26" s="10"/>
      <c r="CZ26" s="11"/>
    </row>
    <row r="27" spans="1:104">
      <c r="A27" s="122">
        <v>44592</v>
      </c>
      <c r="B27" s="78">
        <v>16200</v>
      </c>
      <c r="C27" s="11"/>
      <c r="E27" s="9"/>
      <c r="F27" s="10"/>
      <c r="G27" s="11"/>
      <c r="I27" s="9"/>
      <c r="J27" s="10"/>
      <c r="K27" s="11"/>
      <c r="M27" s="9"/>
      <c r="N27" s="10"/>
      <c r="O27" s="11"/>
      <c r="Q27" s="9"/>
      <c r="R27" s="10"/>
      <c r="S27" s="11"/>
      <c r="T27" s="12"/>
      <c r="U27" s="9"/>
      <c r="V27" s="10"/>
      <c r="W27" s="11"/>
      <c r="Y27" s="9"/>
      <c r="Z27" s="10"/>
      <c r="AA27" s="11"/>
      <c r="AC27" s="9"/>
      <c r="AD27" s="9"/>
      <c r="AE27" s="10"/>
      <c r="AF27" s="11"/>
      <c r="AH27" s="9"/>
      <c r="AI27" s="10"/>
      <c r="AJ27" s="11"/>
      <c r="AL27" s="9"/>
      <c r="AM27" s="10"/>
      <c r="AN27" s="11"/>
      <c r="AP27" s="9"/>
      <c r="AQ27" s="10"/>
      <c r="AR27" s="11"/>
      <c r="AT27" s="9"/>
      <c r="AU27" s="10"/>
      <c r="AV27" s="11"/>
      <c r="AX27" s="9"/>
      <c r="AY27" s="10"/>
      <c r="AZ27" s="11"/>
      <c r="BB27" s="9"/>
      <c r="BC27" s="10"/>
      <c r="BD27" s="11"/>
      <c r="BF27" s="9"/>
      <c r="BG27" s="10"/>
      <c r="BH27" s="11"/>
      <c r="BJ27" s="9"/>
      <c r="BK27" s="10"/>
      <c r="BL27" s="11"/>
      <c r="BN27" s="9"/>
      <c r="BO27" s="10"/>
      <c r="BP27" s="11"/>
      <c r="BR27" s="9"/>
      <c r="BS27" s="10"/>
      <c r="BT27" s="11"/>
      <c r="BV27" s="9"/>
      <c r="BW27" s="10"/>
      <c r="BX27" s="11"/>
      <c r="BZ27" s="9"/>
      <c r="CA27" s="10"/>
      <c r="CB27" s="11"/>
      <c r="CD27" s="9"/>
      <c r="CE27" s="10"/>
      <c r="CF27" s="11"/>
      <c r="CH27" s="9"/>
      <c r="CI27" s="10"/>
      <c r="CJ27" s="11"/>
      <c r="CL27" s="9"/>
      <c r="CM27" s="10"/>
      <c r="CN27" s="11"/>
      <c r="CP27" s="9"/>
      <c r="CQ27" s="10"/>
      <c r="CR27" s="11"/>
      <c r="CT27" s="9"/>
      <c r="CU27" s="10"/>
      <c r="CV27" s="11"/>
      <c r="CX27" s="9"/>
      <c r="CY27" s="10"/>
      <c r="CZ27" s="11"/>
    </row>
    <row r="28" spans="1:104">
      <c r="A28" s="122">
        <v>44592</v>
      </c>
      <c r="B28" s="78">
        <v>300</v>
      </c>
      <c r="C28" s="11"/>
      <c r="E28" s="9"/>
      <c r="F28" s="10"/>
      <c r="G28" s="11"/>
      <c r="I28" s="9"/>
      <c r="J28" s="10"/>
      <c r="K28" s="11"/>
      <c r="M28" s="9"/>
      <c r="N28" s="10"/>
      <c r="O28" s="11"/>
      <c r="Q28" s="9"/>
      <c r="R28" s="10"/>
      <c r="S28" s="11"/>
      <c r="T28" s="12"/>
      <c r="U28" s="9"/>
      <c r="V28" s="10"/>
      <c r="W28" s="11"/>
      <c r="Y28" s="9"/>
      <c r="Z28" s="10"/>
      <c r="AA28" s="11"/>
      <c r="AC28" s="9"/>
      <c r="AD28" s="9"/>
      <c r="AE28" s="10"/>
      <c r="AF28" s="11"/>
      <c r="AH28" s="9"/>
      <c r="AI28" s="10"/>
      <c r="AJ28" s="11"/>
      <c r="AL28" s="9"/>
      <c r="AM28" s="10"/>
      <c r="AN28" s="11"/>
      <c r="AP28" s="9"/>
      <c r="AQ28" s="10"/>
      <c r="AR28" s="11"/>
      <c r="AT28" s="9"/>
      <c r="AU28" s="10"/>
      <c r="AV28" s="11"/>
      <c r="AX28" s="9"/>
      <c r="AY28" s="10"/>
      <c r="AZ28" s="11"/>
      <c r="BB28" s="9"/>
      <c r="BC28" s="10"/>
      <c r="BD28" s="11"/>
      <c r="BF28" s="9"/>
      <c r="BG28" s="10"/>
      <c r="BH28" s="11"/>
      <c r="BJ28" s="9"/>
      <c r="BK28" s="10"/>
      <c r="BL28" s="11"/>
      <c r="BN28" s="9"/>
      <c r="BO28" s="10"/>
      <c r="BP28" s="11"/>
      <c r="BR28" s="9"/>
      <c r="BS28" s="10"/>
      <c r="BT28" s="11"/>
      <c r="BV28" s="9"/>
      <c r="BW28" s="10"/>
      <c r="BX28" s="11"/>
      <c r="BZ28" s="9"/>
      <c r="CA28" s="10"/>
      <c r="CB28" s="11"/>
      <c r="CD28" s="9"/>
      <c r="CE28" s="10"/>
      <c r="CF28" s="11"/>
      <c r="CH28" s="9"/>
      <c r="CI28" s="10"/>
      <c r="CJ28" s="11"/>
      <c r="CL28" s="9"/>
      <c r="CM28" s="10"/>
      <c r="CN28" s="11"/>
      <c r="CP28" s="9"/>
      <c r="CQ28" s="10"/>
      <c r="CR28" s="11"/>
      <c r="CT28" s="9"/>
      <c r="CU28" s="10"/>
      <c r="CV28" s="11"/>
      <c r="CX28" s="9"/>
      <c r="CY28" s="10"/>
      <c r="CZ28" s="11"/>
    </row>
    <row r="29" spans="1:104">
      <c r="A29" s="122">
        <v>44592</v>
      </c>
      <c r="B29" s="78">
        <v>12000</v>
      </c>
      <c r="C29" s="11"/>
      <c r="E29" s="9"/>
      <c r="F29" s="10"/>
      <c r="G29" s="11"/>
      <c r="I29" s="9"/>
      <c r="J29" s="10"/>
      <c r="K29" s="11"/>
      <c r="M29" s="9"/>
      <c r="N29" s="10"/>
      <c r="O29" s="11"/>
      <c r="Q29" s="9"/>
      <c r="R29" s="10"/>
      <c r="S29" s="11"/>
      <c r="T29" s="12"/>
      <c r="U29" s="9"/>
      <c r="V29" s="10"/>
      <c r="W29" s="11"/>
      <c r="Y29" s="9"/>
      <c r="Z29" s="10"/>
      <c r="AA29" s="11"/>
      <c r="AC29" s="9"/>
      <c r="AD29" s="9"/>
      <c r="AE29" s="10"/>
      <c r="AF29" s="11"/>
      <c r="AH29" s="9"/>
      <c r="AI29" s="10"/>
      <c r="AJ29" s="11"/>
      <c r="AL29" s="9"/>
      <c r="AM29" s="10"/>
      <c r="AN29" s="11"/>
      <c r="AP29" s="9"/>
      <c r="AQ29" s="10"/>
      <c r="AR29" s="11"/>
      <c r="AT29" s="9"/>
      <c r="AU29" s="10"/>
      <c r="AV29" s="11"/>
      <c r="AX29" s="9"/>
      <c r="AY29" s="10"/>
      <c r="AZ29" s="11"/>
      <c r="BB29" s="9"/>
      <c r="BC29" s="10"/>
      <c r="BD29" s="11"/>
      <c r="BF29" s="9"/>
      <c r="BG29" s="10"/>
      <c r="BH29" s="11"/>
      <c r="BJ29" s="9"/>
      <c r="BK29" s="10"/>
      <c r="BL29" s="11"/>
      <c r="BN29" s="9"/>
      <c r="BO29" s="10"/>
      <c r="BP29" s="11"/>
      <c r="BR29" s="9"/>
      <c r="BS29" s="10"/>
      <c r="BT29" s="11"/>
      <c r="BV29" s="9"/>
      <c r="BW29" s="10"/>
      <c r="BX29" s="11"/>
      <c r="BZ29" s="9"/>
      <c r="CA29" s="10"/>
      <c r="CB29" s="11"/>
      <c r="CD29" s="9"/>
      <c r="CE29" s="10"/>
      <c r="CF29" s="11"/>
      <c r="CH29" s="9"/>
      <c r="CI29" s="10"/>
      <c r="CJ29" s="11"/>
      <c r="CL29" s="9"/>
      <c r="CM29" s="10"/>
      <c r="CN29" s="11"/>
      <c r="CP29" s="9"/>
      <c r="CQ29" s="10"/>
      <c r="CR29" s="11"/>
      <c r="CT29" s="9"/>
      <c r="CU29" s="10"/>
      <c r="CV29" s="11"/>
      <c r="CX29" s="9"/>
      <c r="CY29" s="10"/>
      <c r="CZ29" s="11"/>
    </row>
    <row r="30" spans="1:104">
      <c r="A30" s="122">
        <v>44592</v>
      </c>
      <c r="B30" s="78"/>
      <c r="C30" s="129">
        <v>4500</v>
      </c>
      <c r="D30" s="130"/>
      <c r="E30" s="134"/>
      <c r="F30" s="10"/>
      <c r="G30" s="11"/>
      <c r="I30" s="9"/>
      <c r="J30" s="10"/>
      <c r="K30" s="11"/>
      <c r="M30" s="9"/>
      <c r="N30" s="10"/>
      <c r="O30" s="11"/>
      <c r="Q30" s="9"/>
      <c r="R30" s="10"/>
      <c r="S30" s="11"/>
      <c r="T30" s="12"/>
      <c r="U30" s="9"/>
      <c r="V30" s="10"/>
      <c r="W30" s="11"/>
      <c r="Y30" s="9"/>
      <c r="Z30" s="10"/>
      <c r="AA30" s="11"/>
      <c r="AC30" s="9"/>
      <c r="AD30" s="9"/>
      <c r="AE30" s="10"/>
      <c r="AF30" s="11"/>
      <c r="AH30" s="9"/>
      <c r="AI30" s="10"/>
      <c r="AJ30" s="11"/>
      <c r="AL30" s="9"/>
      <c r="AM30" s="10"/>
      <c r="AN30" s="11"/>
      <c r="AP30" s="9"/>
      <c r="AQ30" s="10"/>
      <c r="AR30" s="11"/>
      <c r="AT30" s="9"/>
      <c r="AU30" s="10"/>
      <c r="AV30" s="11"/>
      <c r="AX30" s="9"/>
      <c r="AY30" s="10"/>
      <c r="AZ30" s="11"/>
      <c r="BB30" s="9"/>
      <c r="BC30" s="10"/>
      <c r="BD30" s="11"/>
      <c r="BF30" s="9"/>
      <c r="BG30" s="10"/>
      <c r="BH30" s="11"/>
      <c r="BJ30" s="9"/>
      <c r="BK30" s="10"/>
      <c r="BL30" s="11"/>
      <c r="BN30" s="9"/>
      <c r="BO30" s="10"/>
      <c r="BP30" s="11"/>
      <c r="BR30" s="9"/>
      <c r="BS30" s="10"/>
      <c r="BT30" s="11"/>
      <c r="BV30" s="9"/>
      <c r="BW30" s="10"/>
      <c r="BX30" s="11"/>
      <c r="BZ30" s="9"/>
      <c r="CA30" s="10"/>
      <c r="CB30" s="11"/>
      <c r="CD30" s="9"/>
      <c r="CE30" s="10"/>
      <c r="CF30" s="11"/>
      <c r="CH30" s="9"/>
      <c r="CI30" s="10"/>
      <c r="CJ30" s="11"/>
      <c r="CL30" s="9"/>
      <c r="CM30" s="10"/>
      <c r="CN30" s="11"/>
      <c r="CP30" s="9"/>
      <c r="CQ30" s="10"/>
      <c r="CR30" s="11"/>
      <c r="CT30" s="9"/>
      <c r="CU30" s="10"/>
      <c r="CV30" s="11"/>
      <c r="CX30" s="9"/>
      <c r="CY30" s="10"/>
      <c r="CZ30" s="11"/>
    </row>
    <row r="31" spans="1:104">
      <c r="A31" s="132"/>
      <c r="B31" s="78"/>
      <c r="C31" s="11"/>
      <c r="E31" s="9"/>
      <c r="F31" s="10"/>
      <c r="G31" s="11"/>
      <c r="I31" s="9"/>
      <c r="J31" s="10"/>
      <c r="K31" s="11"/>
      <c r="M31" s="9"/>
      <c r="N31" s="10"/>
      <c r="O31" s="11"/>
      <c r="Q31" s="9"/>
      <c r="R31" s="10"/>
      <c r="S31" s="11"/>
      <c r="T31" s="12"/>
      <c r="U31" s="9"/>
      <c r="V31" s="10"/>
      <c r="W31" s="11"/>
      <c r="Y31" s="9"/>
      <c r="Z31" s="10"/>
      <c r="AA31" s="11"/>
      <c r="AC31" s="9"/>
      <c r="AD31" s="9"/>
      <c r="AE31" s="10"/>
      <c r="AF31" s="11"/>
      <c r="AH31" s="9"/>
      <c r="AI31" s="10"/>
      <c r="AJ31" s="11"/>
      <c r="AL31" s="9"/>
      <c r="AM31" s="10"/>
      <c r="AN31" s="11"/>
      <c r="AP31" s="9"/>
      <c r="AQ31" s="10"/>
      <c r="AR31" s="11"/>
      <c r="AT31" s="9"/>
      <c r="AU31" s="10"/>
      <c r="AV31" s="11"/>
      <c r="AX31" s="9"/>
      <c r="AY31" s="10"/>
      <c r="AZ31" s="11"/>
      <c r="BB31" s="9"/>
      <c r="BC31" s="10"/>
      <c r="BD31" s="11"/>
      <c r="BF31" s="9"/>
      <c r="BG31" s="10"/>
      <c r="BH31" s="11"/>
      <c r="BJ31" s="9"/>
      <c r="BK31" s="10"/>
      <c r="BL31" s="11"/>
      <c r="BN31" s="9"/>
      <c r="BO31" s="10"/>
      <c r="BP31" s="11"/>
      <c r="BR31" s="9"/>
      <c r="BS31" s="10"/>
      <c r="BT31" s="11"/>
      <c r="BV31" s="9"/>
      <c r="BW31" s="10"/>
      <c r="BX31" s="11"/>
      <c r="BZ31" s="9"/>
      <c r="CA31" s="10"/>
      <c r="CB31" s="11"/>
      <c r="CD31" s="9"/>
      <c r="CE31" s="10"/>
      <c r="CF31" s="11"/>
      <c r="CH31" s="9"/>
      <c r="CI31" s="10"/>
      <c r="CJ31" s="11"/>
      <c r="CL31" s="9"/>
      <c r="CM31" s="10"/>
      <c r="CN31" s="11"/>
      <c r="CP31" s="9"/>
      <c r="CQ31" s="10"/>
      <c r="CR31" s="11"/>
      <c r="CT31" s="9"/>
      <c r="CU31" s="10"/>
      <c r="CV31" s="11"/>
      <c r="CX31" s="9"/>
      <c r="CY31" s="10"/>
      <c r="CZ31" s="11"/>
    </row>
    <row r="32" spans="1:104">
      <c r="A32" s="133" t="s">
        <v>167</v>
      </c>
      <c r="B32" s="78">
        <f>SUM(B3:B29)</f>
        <v>260900</v>
      </c>
      <c r="C32" s="11">
        <f>SUM(C4:C30)</f>
        <v>147075</v>
      </c>
      <c r="E32" s="9"/>
      <c r="F32" s="10"/>
      <c r="G32" s="11"/>
      <c r="I32" s="9"/>
      <c r="J32" s="10"/>
      <c r="K32" s="11"/>
      <c r="M32" s="9"/>
      <c r="N32" s="10"/>
      <c r="O32" s="11"/>
      <c r="Q32" s="9"/>
      <c r="R32" s="10"/>
      <c r="S32" s="11"/>
      <c r="T32" s="12"/>
      <c r="U32" s="9"/>
      <c r="V32" s="10"/>
      <c r="W32" s="11"/>
      <c r="Y32" s="9"/>
      <c r="Z32" s="10"/>
      <c r="AA32" s="11"/>
      <c r="AC32" s="9"/>
      <c r="AD32" s="9"/>
      <c r="AE32" s="10"/>
      <c r="AF32" s="11"/>
      <c r="AH32" s="9"/>
      <c r="AI32" s="10"/>
      <c r="AJ32" s="11"/>
      <c r="AL32" s="9"/>
      <c r="AM32" s="10"/>
      <c r="AN32" s="11"/>
      <c r="AP32" s="9"/>
      <c r="AQ32" s="10"/>
      <c r="AR32" s="11"/>
      <c r="AT32" s="9"/>
      <c r="AU32" s="10"/>
      <c r="AV32" s="11"/>
      <c r="AX32" s="9"/>
      <c r="AY32" s="10"/>
      <c r="AZ32" s="11"/>
      <c r="BB32" s="9"/>
      <c r="BC32" s="10"/>
      <c r="BD32" s="11"/>
      <c r="BF32" s="9"/>
      <c r="BG32" s="10"/>
      <c r="BH32" s="11"/>
      <c r="BJ32" s="9"/>
      <c r="BK32" s="10"/>
      <c r="BL32" s="11"/>
      <c r="BN32" s="9"/>
      <c r="BO32" s="10"/>
      <c r="BP32" s="11"/>
      <c r="BR32" s="9"/>
      <c r="BS32" s="10"/>
      <c r="BT32" s="11"/>
      <c r="BV32" s="9"/>
      <c r="BW32" s="10"/>
      <c r="BX32" s="11"/>
      <c r="BZ32" s="9"/>
      <c r="CA32" s="10"/>
      <c r="CB32" s="11"/>
      <c r="CD32" s="9"/>
      <c r="CE32" s="10"/>
      <c r="CF32" s="11"/>
      <c r="CH32" s="9"/>
      <c r="CI32" s="10"/>
      <c r="CJ32" s="11"/>
      <c r="CL32" s="9"/>
      <c r="CM32" s="10"/>
      <c r="CN32" s="11"/>
      <c r="CP32" s="9"/>
      <c r="CQ32" s="10"/>
      <c r="CR32" s="11"/>
      <c r="CT32" s="9"/>
      <c r="CU32" s="10"/>
      <c r="CV32" s="11"/>
      <c r="CX32" s="9"/>
      <c r="CY32" s="10"/>
      <c r="CZ32" s="11"/>
    </row>
    <row r="33" spans="1:104">
      <c r="A33" s="133"/>
      <c r="B33" s="78"/>
      <c r="C33" s="11"/>
      <c r="E33" s="9"/>
      <c r="F33" s="10"/>
      <c r="G33" s="11"/>
      <c r="I33" s="9"/>
      <c r="J33" s="10"/>
      <c r="K33" s="11"/>
      <c r="M33" s="9"/>
      <c r="N33" s="10"/>
      <c r="O33" s="11"/>
      <c r="Q33" s="9"/>
      <c r="R33" s="10"/>
      <c r="S33" s="11"/>
      <c r="T33" s="12"/>
      <c r="U33" s="9"/>
      <c r="V33" s="10"/>
      <c r="W33" s="11"/>
      <c r="Y33" s="9"/>
      <c r="Z33" s="10"/>
      <c r="AA33" s="11"/>
      <c r="AC33" s="9"/>
      <c r="AD33" s="9"/>
      <c r="AE33" s="10"/>
      <c r="AF33" s="11"/>
      <c r="AH33" s="9"/>
      <c r="AI33" s="10"/>
      <c r="AJ33" s="11"/>
      <c r="AL33" s="9"/>
      <c r="AM33" s="10"/>
      <c r="AN33" s="11"/>
      <c r="AP33" s="9"/>
      <c r="AQ33" s="10"/>
      <c r="AR33" s="11"/>
      <c r="AT33" s="9"/>
      <c r="AU33" s="10"/>
      <c r="AV33" s="11"/>
      <c r="AX33" s="9"/>
      <c r="AY33" s="10"/>
      <c r="AZ33" s="11"/>
      <c r="BB33" s="9"/>
      <c r="BC33" s="10"/>
      <c r="BD33" s="11"/>
      <c r="BF33" s="9"/>
      <c r="BG33" s="10"/>
      <c r="BH33" s="11"/>
      <c r="BJ33" s="9"/>
      <c r="BK33" s="10"/>
      <c r="BL33" s="11"/>
      <c r="BN33" s="9"/>
      <c r="BO33" s="10"/>
      <c r="BP33" s="11"/>
      <c r="BR33" s="9"/>
      <c r="BS33" s="10"/>
      <c r="BT33" s="11"/>
      <c r="BV33" s="9"/>
      <c r="BW33" s="10"/>
      <c r="BX33" s="11"/>
      <c r="BZ33" s="9"/>
      <c r="CA33" s="10"/>
      <c r="CB33" s="11"/>
      <c r="CD33" s="9"/>
      <c r="CE33" s="10"/>
      <c r="CF33" s="11"/>
      <c r="CH33" s="9"/>
      <c r="CI33" s="10"/>
      <c r="CJ33" s="11"/>
      <c r="CL33" s="9"/>
      <c r="CM33" s="10"/>
      <c r="CN33" s="11"/>
      <c r="CP33" s="9"/>
      <c r="CQ33" s="10"/>
      <c r="CR33" s="11"/>
      <c r="CT33" s="9"/>
      <c r="CU33" s="10"/>
      <c r="CV33" s="11"/>
      <c r="CX33" s="9"/>
      <c r="CY33" s="10"/>
      <c r="CZ33" s="11"/>
    </row>
    <row r="34" spans="1:104">
      <c r="A34" s="80"/>
      <c r="B34" s="10"/>
      <c r="C34" s="11"/>
      <c r="E34" s="9"/>
      <c r="F34" s="10"/>
      <c r="G34" s="11"/>
      <c r="I34" s="9"/>
      <c r="J34" s="10"/>
      <c r="K34" s="11"/>
      <c r="M34" s="9"/>
      <c r="N34" s="10"/>
      <c r="O34" s="11"/>
      <c r="Q34" s="9"/>
      <c r="R34" s="10"/>
      <c r="S34" s="11"/>
      <c r="T34" s="12"/>
      <c r="U34" s="9"/>
      <c r="V34" s="10"/>
      <c r="W34" s="11"/>
      <c r="Y34" s="9"/>
      <c r="Z34" s="10"/>
      <c r="AA34" s="11"/>
      <c r="AC34" s="9"/>
      <c r="AD34" s="9"/>
      <c r="AE34" s="10"/>
      <c r="AF34" s="11"/>
      <c r="AH34" s="9"/>
      <c r="AI34" s="10"/>
      <c r="AJ34" s="11"/>
      <c r="AL34" s="9"/>
      <c r="AM34" s="10"/>
      <c r="AN34" s="11"/>
      <c r="AP34" s="9"/>
      <c r="AQ34" s="10"/>
      <c r="AR34" s="11"/>
      <c r="AT34" s="9"/>
      <c r="AU34" s="10"/>
      <c r="AV34" s="11"/>
      <c r="AX34" s="9"/>
      <c r="AY34" s="10"/>
      <c r="AZ34" s="11"/>
      <c r="BB34" s="9"/>
      <c r="BC34" s="10"/>
      <c r="BD34" s="11"/>
      <c r="BF34" s="9"/>
      <c r="BG34" s="10"/>
      <c r="BH34" s="11"/>
      <c r="BJ34" s="9"/>
      <c r="BK34" s="10"/>
      <c r="BL34" s="11"/>
      <c r="BN34" s="9"/>
      <c r="BO34" s="10"/>
      <c r="BP34" s="11"/>
      <c r="BR34" s="9"/>
      <c r="BS34" s="10"/>
      <c r="BT34" s="11"/>
      <c r="BV34" s="9"/>
      <c r="BW34" s="10"/>
      <c r="BX34" s="11"/>
      <c r="BZ34" s="9"/>
      <c r="CA34" s="10"/>
      <c r="CB34" s="11"/>
      <c r="CD34" s="9"/>
      <c r="CE34" s="10"/>
      <c r="CF34" s="11"/>
      <c r="CH34" s="9"/>
      <c r="CI34" s="10"/>
      <c r="CJ34" s="11"/>
      <c r="CL34" s="9"/>
      <c r="CM34" s="10"/>
      <c r="CN34" s="11"/>
      <c r="CP34" s="9"/>
      <c r="CQ34" s="10"/>
      <c r="CR34" s="11"/>
      <c r="CT34" s="9"/>
      <c r="CU34" s="10"/>
      <c r="CV34" s="11"/>
      <c r="CX34" s="9"/>
      <c r="CY34" s="10"/>
      <c r="CZ34" s="11"/>
    </row>
    <row r="35" spans="1:104">
      <c r="A35" s="75" t="s">
        <v>127</v>
      </c>
      <c r="B35" s="76">
        <f>SUM(B32-C32)</f>
        <v>113825</v>
      </c>
      <c r="C35" s="11"/>
      <c r="E35" s="75" t="s">
        <v>127</v>
      </c>
      <c r="F35" s="10"/>
      <c r="G35" s="81">
        <v>200000</v>
      </c>
      <c r="I35" s="75" t="s">
        <v>127</v>
      </c>
      <c r="J35" s="10"/>
      <c r="K35" s="81">
        <v>0</v>
      </c>
      <c r="M35" s="75" t="s">
        <v>127</v>
      </c>
      <c r="N35" s="10"/>
      <c r="O35" s="81">
        <v>0</v>
      </c>
      <c r="Q35" s="93" t="s">
        <v>127</v>
      </c>
      <c r="R35" s="94">
        <f>SUM(R3:R5)</f>
        <v>2525</v>
      </c>
      <c r="S35" s="11"/>
      <c r="T35" s="12"/>
      <c r="U35" s="75" t="s">
        <v>127</v>
      </c>
      <c r="V35" s="76">
        <v>250</v>
      </c>
      <c r="W35" s="11"/>
      <c r="Y35" s="75" t="s">
        <v>127</v>
      </c>
      <c r="Z35" s="76">
        <v>300</v>
      </c>
      <c r="AA35" s="11"/>
      <c r="AC35" s="9"/>
      <c r="AD35" s="75" t="s">
        <v>127</v>
      </c>
      <c r="AE35" s="76">
        <v>120000</v>
      </c>
      <c r="AF35" s="11"/>
      <c r="AH35" s="108" t="s">
        <v>127</v>
      </c>
      <c r="AI35" s="76"/>
      <c r="AJ35" s="81">
        <f>SUM(AJ3:AJ6)</f>
        <v>14700</v>
      </c>
      <c r="AL35" s="75" t="s">
        <v>127</v>
      </c>
      <c r="AM35" s="76"/>
      <c r="AN35" s="81">
        <f>SUM(AN3:AN6)</f>
        <v>14000</v>
      </c>
      <c r="AP35" s="75" t="s">
        <v>127</v>
      </c>
      <c r="AQ35" s="76"/>
      <c r="AR35" s="81">
        <f>SUM(AR3:AR6)</f>
        <v>1100</v>
      </c>
      <c r="AT35" s="75" t="s">
        <v>127</v>
      </c>
      <c r="AU35" s="76">
        <v>5700</v>
      </c>
      <c r="AV35" s="11"/>
      <c r="AX35" s="75" t="s">
        <v>127</v>
      </c>
      <c r="AY35" s="76">
        <f>SUM(AY3:AY5)</f>
        <v>13700</v>
      </c>
      <c r="AZ35" s="11"/>
      <c r="BB35" s="75" t="s">
        <v>127</v>
      </c>
      <c r="BC35" s="10"/>
      <c r="BD35" s="81">
        <v>16200</v>
      </c>
      <c r="BF35" s="75" t="s">
        <v>127</v>
      </c>
      <c r="BG35" s="10"/>
      <c r="BH35" s="81">
        <v>300</v>
      </c>
      <c r="BJ35" s="75" t="s">
        <v>127</v>
      </c>
      <c r="BK35" s="10"/>
      <c r="BL35" s="81">
        <v>12000</v>
      </c>
      <c r="BN35" s="75" t="s">
        <v>127</v>
      </c>
      <c r="BO35" s="76"/>
      <c r="BP35" s="81">
        <f>SUM(BP3:BP6)</f>
        <v>1800</v>
      </c>
      <c r="BR35" s="75" t="s">
        <v>127</v>
      </c>
      <c r="BS35" s="76"/>
      <c r="BT35" s="81">
        <f>SUM(BT3:BT6)</f>
        <v>800</v>
      </c>
      <c r="BV35" s="75" t="s">
        <v>127</v>
      </c>
      <c r="BW35" s="76">
        <v>4500</v>
      </c>
      <c r="BX35" s="11"/>
      <c r="BZ35" s="75" t="s">
        <v>127</v>
      </c>
      <c r="CA35" s="76">
        <v>400</v>
      </c>
      <c r="CB35" s="11"/>
      <c r="CD35" s="75" t="s">
        <v>127</v>
      </c>
      <c r="CE35" s="76">
        <v>500</v>
      </c>
      <c r="CF35" s="11"/>
      <c r="CH35" s="75" t="s">
        <v>127</v>
      </c>
      <c r="CI35" s="10"/>
      <c r="CJ35" s="81">
        <v>500</v>
      </c>
      <c r="CL35" s="9"/>
      <c r="CM35" s="10"/>
      <c r="CN35" s="11"/>
      <c r="CP35" s="9"/>
      <c r="CQ35" s="10"/>
      <c r="CR35" s="11"/>
      <c r="CT35" s="9"/>
      <c r="CU35" s="10"/>
      <c r="CV35" s="11"/>
      <c r="CX35" s="9"/>
      <c r="CY35" s="10"/>
      <c r="CZ35" s="11"/>
    </row>
    <row r="36" spans="1:104">
      <c r="A36" s="9"/>
      <c r="B36" s="10"/>
      <c r="C36" s="11"/>
      <c r="E36" s="9"/>
      <c r="F36" s="10"/>
      <c r="G36" s="11"/>
      <c r="I36" s="9"/>
      <c r="J36" s="10"/>
      <c r="K36" s="11"/>
      <c r="M36" s="9"/>
      <c r="N36" s="10"/>
      <c r="O36" s="11"/>
      <c r="Q36" s="9"/>
      <c r="R36" s="10"/>
      <c r="S36" s="11"/>
      <c r="T36" s="12"/>
      <c r="U36" s="9"/>
      <c r="V36" s="10"/>
      <c r="W36" s="11"/>
      <c r="Y36" s="9"/>
      <c r="Z36" s="10"/>
      <c r="AA36" s="11"/>
      <c r="AC36" s="9"/>
      <c r="AD36" s="9"/>
      <c r="AE36" s="10"/>
      <c r="AF36" s="11"/>
      <c r="AH36" s="9"/>
      <c r="AI36" s="10"/>
      <c r="AJ36" s="11"/>
      <c r="AL36" s="9"/>
      <c r="AM36" s="10"/>
      <c r="AN36" s="11"/>
      <c r="AP36" s="9"/>
      <c r="AQ36" s="10"/>
      <c r="AR36" s="11"/>
      <c r="AT36" s="9"/>
      <c r="AU36" s="10"/>
      <c r="AV36" s="11"/>
      <c r="AX36" s="9"/>
      <c r="AY36" s="10"/>
      <c r="AZ36" s="11"/>
      <c r="BB36" s="9"/>
      <c r="BC36" s="10"/>
      <c r="BD36" s="11"/>
      <c r="BF36" s="9"/>
      <c r="BG36" s="10"/>
      <c r="BH36" s="11"/>
      <c r="BJ36" s="9"/>
      <c r="BK36" s="10"/>
      <c r="BL36" s="11"/>
      <c r="BN36" s="9"/>
      <c r="BO36" s="10"/>
      <c r="BP36" s="11"/>
      <c r="BR36" s="9"/>
      <c r="BS36" s="10"/>
      <c r="BT36" s="11"/>
      <c r="BV36" s="9"/>
      <c r="BW36" s="10"/>
      <c r="BX36" s="11"/>
      <c r="BZ36" s="9"/>
      <c r="CA36" s="10"/>
      <c r="CB36" s="11"/>
      <c r="CD36" s="9"/>
      <c r="CE36" s="10"/>
      <c r="CF36" s="11"/>
      <c r="CH36" s="9"/>
      <c r="CI36" s="10"/>
      <c r="CJ36" s="11"/>
      <c r="CL36" s="9"/>
      <c r="CM36" s="10"/>
      <c r="CN36" s="11"/>
      <c r="CP36" s="9"/>
      <c r="CQ36" s="10"/>
      <c r="CR36" s="11"/>
      <c r="CT36" s="9"/>
      <c r="CU36" s="10"/>
      <c r="CV36" s="11"/>
      <c r="CX36" s="9"/>
      <c r="CY36" s="10"/>
      <c r="CZ36" s="11"/>
    </row>
    <row r="37" spans="1:104">
      <c r="A37" s="9"/>
      <c r="B37" s="10"/>
      <c r="C37" s="11"/>
      <c r="E37" s="9"/>
      <c r="F37" s="10"/>
      <c r="G37" s="11"/>
      <c r="I37" s="9"/>
      <c r="J37" s="10"/>
      <c r="K37" s="11"/>
      <c r="M37" s="9"/>
      <c r="N37" s="10"/>
      <c r="O37" s="11"/>
      <c r="Q37" s="9"/>
      <c r="R37" s="10"/>
      <c r="S37" s="11"/>
      <c r="T37" s="12"/>
      <c r="U37" s="9"/>
      <c r="V37" s="10"/>
      <c r="W37" s="11"/>
      <c r="Y37" s="9"/>
      <c r="Z37" s="10"/>
      <c r="AA37" s="11"/>
      <c r="AC37" s="9"/>
      <c r="AD37" s="9"/>
      <c r="AE37" s="10"/>
      <c r="AF37" s="11"/>
      <c r="AH37" s="9"/>
      <c r="AI37" s="10"/>
      <c r="AJ37" s="11"/>
      <c r="AL37" s="9"/>
      <c r="AM37" s="10"/>
      <c r="AN37" s="11"/>
      <c r="AP37" s="9"/>
      <c r="AQ37" s="10"/>
      <c r="AR37" s="11"/>
      <c r="AT37" s="9"/>
      <c r="AU37" s="10"/>
      <c r="AV37" s="11"/>
      <c r="AX37" s="9"/>
      <c r="AY37" s="10"/>
      <c r="AZ37" s="11"/>
      <c r="BB37" s="9"/>
      <c r="BC37" s="10"/>
      <c r="BD37" s="11"/>
      <c r="BF37" s="9"/>
      <c r="BG37" s="10"/>
      <c r="BH37" s="11"/>
      <c r="BJ37" s="9"/>
      <c r="BK37" s="10"/>
      <c r="BL37" s="11"/>
      <c r="BN37" s="9"/>
      <c r="BO37" s="10"/>
      <c r="BP37" s="11"/>
      <c r="BR37" s="9"/>
      <c r="BS37" s="10"/>
      <c r="BT37" s="11"/>
      <c r="BV37" s="9"/>
      <c r="BW37" s="10"/>
      <c r="BX37" s="11"/>
      <c r="BZ37" s="9"/>
      <c r="CA37" s="10"/>
      <c r="CB37" s="11"/>
      <c r="CD37" s="9"/>
      <c r="CE37" s="10"/>
      <c r="CF37" s="11"/>
      <c r="CH37" s="9"/>
      <c r="CI37" s="10"/>
      <c r="CJ37" s="11"/>
      <c r="CL37" s="9"/>
      <c r="CM37" s="10"/>
      <c r="CN37" s="11"/>
      <c r="CP37" s="9"/>
      <c r="CQ37" s="10"/>
      <c r="CR37" s="11"/>
      <c r="CT37" s="9"/>
      <c r="CU37" s="10"/>
      <c r="CV37" s="11"/>
      <c r="CX37" s="9"/>
      <c r="CY37" s="10"/>
      <c r="CZ37" s="11"/>
    </row>
  </sheetData>
  <mergeCells count="26">
    <mergeCell ref="B2:C2"/>
    <mergeCell ref="F2:G2"/>
    <mergeCell ref="J2:K2"/>
    <mergeCell ref="N2:O2"/>
    <mergeCell ref="R2:S2"/>
    <mergeCell ref="AU2:AV2"/>
    <mergeCell ref="AY2:AZ2"/>
    <mergeCell ref="BC2:BD2"/>
    <mergeCell ref="BG2:BH2"/>
    <mergeCell ref="V2:W2"/>
    <mergeCell ref="Z2:AA2"/>
    <mergeCell ref="CM2:CN2"/>
    <mergeCell ref="CQ2:CR2"/>
    <mergeCell ref="CU2:CV2"/>
    <mergeCell ref="CY2:CZ2"/>
    <mergeCell ref="BO2:BP2"/>
    <mergeCell ref="BS2:BT2"/>
    <mergeCell ref="BW2:BX2"/>
    <mergeCell ref="CA2:CB2"/>
    <mergeCell ref="CE2:CF2"/>
    <mergeCell ref="CI2:CJ2"/>
    <mergeCell ref="BK2:BL2"/>
    <mergeCell ref="AE2:AF2"/>
    <mergeCell ref="AI2:AJ2"/>
    <mergeCell ref="AM2:AN2"/>
    <mergeCell ref="AQ2:AR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A500-7FF2-6B45-B793-3FAA6E818A29}">
  <dimension ref="A1:HC68"/>
  <sheetViews>
    <sheetView workbookViewId="0">
      <selection activeCell="BJ3" sqref="BJ3"/>
    </sheetView>
  </sheetViews>
  <sheetFormatPr baseColWidth="10" defaultColWidth="11.5703125" defaultRowHeight="17"/>
  <cols>
    <col min="4" max="4" width="3.7109375" customWidth="1"/>
    <col min="8" max="8" width="3.7109375" customWidth="1"/>
    <col min="12" max="12" width="3.7109375" customWidth="1"/>
    <col min="16" max="16" width="4.85546875" customWidth="1"/>
    <col min="20" max="20" width="3.7109375" customWidth="1"/>
    <col min="24" max="24" width="3.7109375" customWidth="1"/>
    <col min="28" max="28" width="3.7109375" customWidth="1"/>
    <col min="32" max="32" width="3.7109375" customWidth="1"/>
    <col min="36" max="36" width="3.7109375" customWidth="1"/>
    <col min="40" max="40" width="3.7109375" customWidth="1"/>
    <col min="44" max="44" width="3.7109375" customWidth="1"/>
    <col min="48" max="48" width="3.7109375" customWidth="1"/>
    <col min="52" max="52" width="3.7109375" customWidth="1"/>
    <col min="56" max="56" width="3.7109375" customWidth="1"/>
    <col min="60" max="60" width="3.7109375" customWidth="1"/>
    <col min="64" max="64" width="3.7109375" customWidth="1"/>
    <col min="68" max="68" width="3.7109375" customWidth="1"/>
    <col min="72" max="72" width="3.7109375" customWidth="1"/>
    <col min="76" max="76" width="3.7109375" customWidth="1"/>
    <col min="80" max="80" width="3.7109375" customWidth="1"/>
    <col min="84" max="84" width="3.7109375" customWidth="1"/>
    <col min="88" max="88" width="3.7109375" customWidth="1"/>
    <col min="92" max="92" width="3.7109375" customWidth="1"/>
    <col min="96" max="96" width="3.7109375" customWidth="1"/>
    <col min="100" max="100" width="3.7109375" customWidth="1"/>
    <col min="104" max="104" width="3.7109375" customWidth="1"/>
    <col min="108" max="108" width="3.7109375" customWidth="1"/>
    <col min="112" max="112" width="3.7109375" customWidth="1"/>
    <col min="116" max="116" width="3.7109375" customWidth="1"/>
    <col min="120" max="120" width="3.7109375" customWidth="1"/>
    <col min="124" max="124" width="3.7109375" customWidth="1"/>
    <col min="128" max="128" width="3.7109375" customWidth="1"/>
    <col min="132" max="132" width="3.7109375" customWidth="1"/>
    <col min="136" max="136" width="3.7109375" customWidth="1"/>
    <col min="140" max="140" width="3.7109375" customWidth="1"/>
    <col min="144" max="144" width="3.7109375" customWidth="1"/>
    <col min="148" max="148" width="3.7109375" customWidth="1"/>
    <col min="152" max="152" width="3.7109375" customWidth="1"/>
    <col min="156" max="156" width="3.7109375" customWidth="1"/>
    <col min="160" max="160" width="3.7109375" customWidth="1"/>
    <col min="164" max="164" width="3.7109375" customWidth="1"/>
    <col min="168" max="168" width="3.7109375" customWidth="1"/>
    <col min="172" max="172" width="3.7109375" customWidth="1"/>
    <col min="176" max="176" width="3.7109375" customWidth="1"/>
    <col min="180" max="180" width="3.7109375" customWidth="1"/>
    <col min="184" max="184" width="3.7109375" customWidth="1"/>
    <col min="188" max="188" width="3.7109375" customWidth="1"/>
    <col min="192" max="192" width="3.7109375" customWidth="1"/>
    <col min="196" max="196" width="3.7109375" customWidth="1"/>
    <col min="200" max="200" width="3.7109375" customWidth="1"/>
  </cols>
  <sheetData>
    <row r="1" spans="1:203" ht="18" thickBot="1">
      <c r="A1" s="6">
        <v>1</v>
      </c>
      <c r="B1" s="8" t="s">
        <v>46</v>
      </c>
      <c r="C1" s="8" t="s">
        <v>47</v>
      </c>
      <c r="D1" s="1"/>
      <c r="E1" s="6">
        <f>+A1+1</f>
        <v>2</v>
      </c>
      <c r="F1" s="8" t="s">
        <v>46</v>
      </c>
      <c r="G1" s="8" t="s">
        <v>47</v>
      </c>
      <c r="H1" s="1"/>
      <c r="I1" s="6">
        <f>+E1+1</f>
        <v>3</v>
      </c>
      <c r="J1" s="8" t="s">
        <v>46</v>
      </c>
      <c r="K1" s="8" t="s">
        <v>47</v>
      </c>
      <c r="L1" s="1"/>
      <c r="M1" s="6" t="e">
        <f>+#REF!+1</f>
        <v>#REF!</v>
      </c>
      <c r="N1" s="8" t="s">
        <v>46</v>
      </c>
      <c r="O1" s="8" t="s">
        <v>47</v>
      </c>
      <c r="P1" s="1"/>
      <c r="Q1" s="6" t="e">
        <f>+M1+1</f>
        <v>#REF!</v>
      </c>
      <c r="R1" s="8" t="s">
        <v>46</v>
      </c>
      <c r="S1" s="8" t="s">
        <v>47</v>
      </c>
      <c r="T1" s="1"/>
      <c r="U1" s="6" t="e">
        <f>+Q1+1</f>
        <v>#REF!</v>
      </c>
      <c r="V1" s="8" t="s">
        <v>46</v>
      </c>
      <c r="W1" s="8" t="s">
        <v>47</v>
      </c>
      <c r="X1" s="1"/>
      <c r="Y1" s="6" t="e">
        <f>+U1+1</f>
        <v>#REF!</v>
      </c>
      <c r="Z1" s="8" t="s">
        <v>46</v>
      </c>
      <c r="AA1" s="8" t="s">
        <v>47</v>
      </c>
      <c r="AB1" s="1"/>
      <c r="AC1" s="6" t="e">
        <f>+Q1+1</f>
        <v>#REF!</v>
      </c>
      <c r="AD1" s="8" t="s">
        <v>46</v>
      </c>
      <c r="AE1" s="8" t="s">
        <v>47</v>
      </c>
      <c r="AF1" s="1"/>
      <c r="AG1" s="6" t="e">
        <f>+AC1+1</f>
        <v>#REF!</v>
      </c>
      <c r="AH1" s="8" t="s">
        <v>46</v>
      </c>
      <c r="AI1" s="8" t="s">
        <v>47</v>
      </c>
      <c r="AJ1" s="1"/>
      <c r="AK1" s="6" t="e">
        <f>+AG1+1</f>
        <v>#REF!</v>
      </c>
      <c r="AL1" s="8" t="s">
        <v>46</v>
      </c>
      <c r="AM1" s="8" t="s">
        <v>47</v>
      </c>
      <c r="AN1" s="1"/>
      <c r="AO1" s="6" t="e">
        <f>+AK1+1</f>
        <v>#REF!</v>
      </c>
      <c r="AP1" s="8" t="s">
        <v>46</v>
      </c>
      <c r="AQ1" s="8" t="s">
        <v>47</v>
      </c>
      <c r="AR1" s="1"/>
      <c r="AS1" s="6" t="e">
        <f>+AO1+1</f>
        <v>#REF!</v>
      </c>
      <c r="AT1" s="8" t="s">
        <v>46</v>
      </c>
      <c r="AU1" s="8" t="s">
        <v>47</v>
      </c>
      <c r="AV1" s="1"/>
      <c r="AW1" s="6" t="e">
        <f>+AS1+1</f>
        <v>#REF!</v>
      </c>
      <c r="AX1" s="8" t="s">
        <v>46</v>
      </c>
      <c r="AY1" s="8" t="s">
        <v>47</v>
      </c>
      <c r="AZ1" s="1"/>
      <c r="BA1" s="6" t="e">
        <f>+AW1+1</f>
        <v>#REF!</v>
      </c>
      <c r="BB1" s="8" t="s">
        <v>46</v>
      </c>
      <c r="BC1" s="8" t="s">
        <v>47</v>
      </c>
      <c r="BD1" s="1"/>
      <c r="BE1" s="6" t="e">
        <f>+#REF!+1</f>
        <v>#REF!</v>
      </c>
      <c r="BF1" s="8" t="s">
        <v>46</v>
      </c>
      <c r="BG1" s="8" t="s">
        <v>47</v>
      </c>
      <c r="BH1" s="1"/>
      <c r="BI1" s="6" t="e">
        <f>+BE1+1</f>
        <v>#REF!</v>
      </c>
      <c r="BJ1" s="8" t="s">
        <v>46</v>
      </c>
      <c r="BK1" s="8" t="s">
        <v>47</v>
      </c>
      <c r="BL1" s="1"/>
      <c r="BM1" s="6" t="e">
        <f>+BI1+1</f>
        <v>#REF!</v>
      </c>
      <c r="BN1" s="8" t="s">
        <v>46</v>
      </c>
      <c r="BO1" s="8" t="s">
        <v>47</v>
      </c>
      <c r="BP1" s="1"/>
      <c r="BQ1" s="6" t="e">
        <f>+BM1+1</f>
        <v>#REF!</v>
      </c>
      <c r="BR1" s="8" t="s">
        <v>46</v>
      </c>
      <c r="BS1" s="8" t="s">
        <v>47</v>
      </c>
      <c r="BT1" s="1"/>
      <c r="BU1" s="6" t="e">
        <f>+BQ1+1</f>
        <v>#REF!</v>
      </c>
      <c r="BV1" s="8" t="s">
        <v>46</v>
      </c>
      <c r="BW1" s="8" t="s">
        <v>47</v>
      </c>
      <c r="BX1" s="1"/>
      <c r="BY1" s="6" t="e">
        <f>+BU1+1</f>
        <v>#REF!</v>
      </c>
      <c r="BZ1" s="8" t="s">
        <v>46</v>
      </c>
      <c r="CA1" s="8" t="s">
        <v>47</v>
      </c>
      <c r="CB1" s="1"/>
      <c r="CC1" s="6" t="e">
        <f>+BY1+1</f>
        <v>#REF!</v>
      </c>
      <c r="CD1" s="8" t="s">
        <v>46</v>
      </c>
      <c r="CE1" s="8" t="s">
        <v>47</v>
      </c>
      <c r="CF1" s="1"/>
      <c r="CG1" s="6" t="e">
        <f>+CC1+1</f>
        <v>#REF!</v>
      </c>
      <c r="CH1" s="8" t="s">
        <v>46</v>
      </c>
      <c r="CI1" s="8" t="s">
        <v>47</v>
      </c>
      <c r="CJ1" s="1"/>
      <c r="CK1" s="6" t="e">
        <f>+CG1+1</f>
        <v>#REF!</v>
      </c>
      <c r="CL1" s="8" t="s">
        <v>46</v>
      </c>
      <c r="CM1" s="8" t="s">
        <v>47</v>
      </c>
      <c r="CN1" s="1"/>
      <c r="CO1" s="6" t="e">
        <f>+CK1+1</f>
        <v>#REF!</v>
      </c>
      <c r="CP1" s="8" t="s">
        <v>46</v>
      </c>
      <c r="CQ1" s="8" t="s">
        <v>47</v>
      </c>
      <c r="CR1" s="1"/>
      <c r="CS1" s="6" t="e">
        <f>+CO1+1</f>
        <v>#REF!</v>
      </c>
      <c r="CT1" s="8" t="s">
        <v>46</v>
      </c>
      <c r="CU1" s="8" t="s">
        <v>47</v>
      </c>
      <c r="CV1" s="1"/>
      <c r="CW1" s="6" t="e">
        <f>+CS1+1</f>
        <v>#REF!</v>
      </c>
      <c r="CX1" s="8" t="s">
        <v>46</v>
      </c>
      <c r="CY1" s="8" t="s">
        <v>47</v>
      </c>
      <c r="CZ1" s="1"/>
      <c r="DA1" s="6" t="e">
        <f>+CW1+1</f>
        <v>#REF!</v>
      </c>
      <c r="DB1" s="8" t="s">
        <v>46</v>
      </c>
      <c r="DC1" s="8" t="s">
        <v>47</v>
      </c>
      <c r="DD1" s="1"/>
      <c r="DE1" s="6" t="e">
        <f>+DA1+1</f>
        <v>#REF!</v>
      </c>
      <c r="DF1" s="8" t="s">
        <v>46</v>
      </c>
      <c r="DG1" s="8" t="s">
        <v>47</v>
      </c>
      <c r="DH1" s="1"/>
      <c r="DI1" s="6" t="e">
        <f>+DE1+1</f>
        <v>#REF!</v>
      </c>
      <c r="DJ1" s="8" t="s">
        <v>46</v>
      </c>
      <c r="DK1" s="8" t="s">
        <v>47</v>
      </c>
      <c r="DL1" s="1"/>
      <c r="DM1" s="6" t="e">
        <f>+DI1+1</f>
        <v>#REF!</v>
      </c>
      <c r="DN1" s="8" t="s">
        <v>46</v>
      </c>
      <c r="DO1" s="8" t="s">
        <v>47</v>
      </c>
      <c r="DP1" s="1"/>
      <c r="DQ1" s="6" t="e">
        <f>+DM1+1</f>
        <v>#REF!</v>
      </c>
      <c r="DR1" s="8" t="s">
        <v>46</v>
      </c>
      <c r="DS1" s="8" t="s">
        <v>47</v>
      </c>
      <c r="DT1" s="1"/>
      <c r="DU1" s="6" t="e">
        <f>+DQ1+1</f>
        <v>#REF!</v>
      </c>
      <c r="DV1" s="8" t="s">
        <v>46</v>
      </c>
      <c r="DW1" s="8" t="s">
        <v>47</v>
      </c>
      <c r="DX1" s="1"/>
      <c r="DY1" s="6" t="e">
        <f>+DU1+1</f>
        <v>#REF!</v>
      </c>
      <c r="DZ1" s="8" t="s">
        <v>46</v>
      </c>
      <c r="EA1" s="8" t="s">
        <v>47</v>
      </c>
      <c r="EB1" s="1"/>
      <c r="EC1" s="6" t="e">
        <f>+DY1+1</f>
        <v>#REF!</v>
      </c>
      <c r="ED1" s="8" t="s">
        <v>46</v>
      </c>
      <c r="EE1" s="8" t="s">
        <v>47</v>
      </c>
      <c r="EF1" s="1"/>
      <c r="EG1" s="6" t="e">
        <f>+EC1+1</f>
        <v>#REF!</v>
      </c>
      <c r="EH1" s="8" t="s">
        <v>46</v>
      </c>
      <c r="EI1" s="8" t="s">
        <v>47</v>
      </c>
      <c r="EJ1" s="1"/>
      <c r="EK1" s="6" t="e">
        <f>+EG1+1</f>
        <v>#REF!</v>
      </c>
      <c r="EL1" s="8" t="s">
        <v>46</v>
      </c>
      <c r="EM1" s="8" t="s">
        <v>47</v>
      </c>
      <c r="EN1" s="1"/>
      <c r="EO1" s="6" t="e">
        <f>+EK1+1</f>
        <v>#REF!</v>
      </c>
      <c r="EP1" s="8" t="s">
        <v>46</v>
      </c>
      <c r="EQ1" s="8" t="s">
        <v>47</v>
      </c>
      <c r="ER1" s="1"/>
      <c r="ES1" s="6" t="e">
        <f>+EO1+1</f>
        <v>#REF!</v>
      </c>
      <c r="ET1" s="8" t="s">
        <v>46</v>
      </c>
      <c r="EU1" s="8" t="s">
        <v>47</v>
      </c>
      <c r="EV1" s="1"/>
      <c r="EW1" s="6" t="e">
        <f>+ES1+1</f>
        <v>#REF!</v>
      </c>
      <c r="EX1" s="8" t="s">
        <v>46</v>
      </c>
      <c r="EY1" s="8" t="s">
        <v>47</v>
      </c>
      <c r="EZ1" s="1"/>
      <c r="FA1" s="6" t="e">
        <f>+EW1+1</f>
        <v>#REF!</v>
      </c>
      <c r="FB1" s="8" t="s">
        <v>46</v>
      </c>
      <c r="FC1" s="8" t="s">
        <v>47</v>
      </c>
      <c r="FD1" s="1"/>
      <c r="FE1" s="6" t="e">
        <f>+FA1+1</f>
        <v>#REF!</v>
      </c>
      <c r="FF1" s="8" t="s">
        <v>46</v>
      </c>
      <c r="FG1" s="8" t="s">
        <v>47</v>
      </c>
      <c r="FH1" s="1"/>
      <c r="FI1" s="6" t="e">
        <f>+FE1+1</f>
        <v>#REF!</v>
      </c>
      <c r="FJ1" s="8" t="s">
        <v>46</v>
      </c>
      <c r="FK1" s="8" t="s">
        <v>47</v>
      </c>
      <c r="FL1" s="1"/>
      <c r="FM1" s="6" t="e">
        <f>+FI1+1</f>
        <v>#REF!</v>
      </c>
      <c r="FN1" s="8" t="s">
        <v>46</v>
      </c>
      <c r="FO1" s="8" t="s">
        <v>47</v>
      </c>
      <c r="FP1" s="1"/>
      <c r="FQ1" s="6" t="e">
        <f>+FM1+1</f>
        <v>#REF!</v>
      </c>
      <c r="FR1" s="8" t="s">
        <v>46</v>
      </c>
      <c r="FS1" s="8" t="s">
        <v>47</v>
      </c>
      <c r="FT1" s="1"/>
      <c r="FU1" s="6" t="e">
        <f>+FQ1+1</f>
        <v>#REF!</v>
      </c>
      <c r="FV1" s="8" t="s">
        <v>46</v>
      </c>
      <c r="FW1" s="8" t="s">
        <v>47</v>
      </c>
      <c r="FX1" s="1"/>
      <c r="FY1" s="6" t="e">
        <f>+FU1+1</f>
        <v>#REF!</v>
      </c>
      <c r="FZ1" s="8" t="s">
        <v>46</v>
      </c>
      <c r="GA1" s="8" t="s">
        <v>47</v>
      </c>
      <c r="GB1" s="1"/>
      <c r="GC1" s="6" t="e">
        <f>+FY1+1</f>
        <v>#REF!</v>
      </c>
      <c r="GD1" s="8" t="s">
        <v>46</v>
      </c>
      <c r="GE1" s="8" t="s">
        <v>47</v>
      </c>
      <c r="GF1" s="1"/>
      <c r="GG1" s="6" t="e">
        <f>+GC1+1</f>
        <v>#REF!</v>
      </c>
      <c r="GH1" s="8" t="s">
        <v>46</v>
      </c>
      <c r="GI1" s="8" t="s">
        <v>47</v>
      </c>
      <c r="GJ1" s="1"/>
      <c r="GK1" s="6" t="e">
        <f>+GG1+1</f>
        <v>#REF!</v>
      </c>
      <c r="GL1" s="8" t="s">
        <v>46</v>
      </c>
      <c r="GM1" s="8" t="s">
        <v>47</v>
      </c>
      <c r="GN1" s="1"/>
      <c r="GO1" s="6" t="e">
        <f>+GK1+1</f>
        <v>#REF!</v>
      </c>
      <c r="GP1" s="8" t="s">
        <v>46</v>
      </c>
      <c r="GQ1" s="8" t="s">
        <v>47</v>
      </c>
      <c r="GR1" s="1"/>
      <c r="GS1" s="6" t="e">
        <f>+GO1+1</f>
        <v>#REF!</v>
      </c>
      <c r="GT1" s="8" t="s">
        <v>46</v>
      </c>
      <c r="GU1" s="8" t="s">
        <v>47</v>
      </c>
    </row>
    <row r="2" spans="1:203" ht="18" thickTop="1">
      <c r="A2" s="7"/>
      <c r="B2" s="162" t="s">
        <v>11</v>
      </c>
      <c r="C2" s="162"/>
      <c r="D2" s="1"/>
      <c r="E2" s="7" t="s">
        <v>25</v>
      </c>
      <c r="F2" s="162" t="s">
        <v>113</v>
      </c>
      <c r="G2" s="162"/>
      <c r="H2" s="1"/>
      <c r="I2" s="7" t="s">
        <v>25</v>
      </c>
      <c r="J2" s="162" t="s">
        <v>97</v>
      </c>
      <c r="K2" s="162"/>
      <c r="L2" s="1"/>
      <c r="M2" s="7" t="s">
        <v>25</v>
      </c>
      <c r="N2" s="162" t="s">
        <v>101</v>
      </c>
      <c r="O2" s="168"/>
      <c r="P2" s="1"/>
      <c r="Q2" s="7"/>
      <c r="R2" s="162" t="s">
        <v>102</v>
      </c>
      <c r="S2" s="168"/>
      <c r="T2" s="1"/>
      <c r="U2" s="7" t="s">
        <v>25</v>
      </c>
      <c r="V2" s="162" t="s">
        <v>161</v>
      </c>
      <c r="W2" s="168"/>
      <c r="X2" s="1"/>
      <c r="Y2" s="7" t="s">
        <v>25</v>
      </c>
      <c r="Z2" s="162" t="s">
        <v>139</v>
      </c>
      <c r="AA2" s="168"/>
      <c r="AB2" s="1"/>
      <c r="AC2" s="7" t="s">
        <v>25</v>
      </c>
      <c r="AD2" s="162" t="s">
        <v>138</v>
      </c>
      <c r="AE2" s="168"/>
      <c r="AF2" s="1"/>
      <c r="AG2" s="7" t="s">
        <v>25</v>
      </c>
      <c r="AH2" s="162" t="s">
        <v>71</v>
      </c>
      <c r="AI2" s="168"/>
      <c r="AJ2" s="1"/>
      <c r="AK2" s="7" t="s">
        <v>25</v>
      </c>
      <c r="AL2" s="162" t="s">
        <v>91</v>
      </c>
      <c r="AM2" s="168"/>
      <c r="AN2" s="1"/>
      <c r="AO2" s="7" t="s">
        <v>25</v>
      </c>
      <c r="AP2" s="162" t="s">
        <v>95</v>
      </c>
      <c r="AQ2" s="168"/>
      <c r="AR2" s="1"/>
      <c r="AS2" s="7" t="s">
        <v>25</v>
      </c>
      <c r="AT2" s="162" t="s">
        <v>88</v>
      </c>
      <c r="AU2" s="168"/>
      <c r="AV2" s="1"/>
      <c r="AW2" s="7" t="s">
        <v>25</v>
      </c>
      <c r="AX2" s="162" t="s">
        <v>100</v>
      </c>
      <c r="AY2" s="168"/>
      <c r="AZ2" s="1"/>
      <c r="BA2" s="7" t="s">
        <v>25</v>
      </c>
      <c r="BB2" s="162" t="s">
        <v>112</v>
      </c>
      <c r="BC2" s="168"/>
      <c r="BD2" s="1"/>
      <c r="BE2" s="7" t="s">
        <v>25</v>
      </c>
      <c r="BF2" s="162" t="s">
        <v>104</v>
      </c>
      <c r="BG2" s="168"/>
      <c r="BH2" s="1"/>
      <c r="BI2" s="7" t="s">
        <v>25</v>
      </c>
      <c r="BJ2" s="162" t="s">
        <v>173</v>
      </c>
      <c r="BK2" s="168"/>
      <c r="BL2" s="1"/>
      <c r="BM2" s="7" t="s">
        <v>25</v>
      </c>
      <c r="BN2" s="162" t="s">
        <v>149</v>
      </c>
      <c r="BO2" s="168"/>
      <c r="BP2" s="1"/>
      <c r="BQ2" s="7" t="s">
        <v>25</v>
      </c>
      <c r="BR2" s="162" t="s">
        <v>151</v>
      </c>
      <c r="BS2" s="168"/>
      <c r="BT2" s="1"/>
      <c r="BU2" s="7" t="s">
        <v>25</v>
      </c>
      <c r="BV2" s="162" t="s">
        <v>153</v>
      </c>
      <c r="BW2" s="168"/>
      <c r="BX2" s="1"/>
      <c r="BY2" s="7" t="s">
        <v>25</v>
      </c>
      <c r="BZ2" s="162" t="s">
        <v>152</v>
      </c>
      <c r="CA2" s="168"/>
      <c r="CB2" s="1"/>
      <c r="CC2" s="7" t="s">
        <v>25</v>
      </c>
      <c r="CD2" s="162" t="s">
        <v>154</v>
      </c>
      <c r="CE2" s="168"/>
      <c r="CF2" s="1"/>
      <c r="CG2" s="79" t="s">
        <v>25</v>
      </c>
      <c r="CH2" s="162" t="s">
        <v>234</v>
      </c>
      <c r="CI2" s="163"/>
      <c r="CJ2" s="1"/>
      <c r="CK2" s="79" t="s">
        <v>25</v>
      </c>
      <c r="CL2" s="162" t="s">
        <v>248</v>
      </c>
      <c r="CM2" s="163"/>
      <c r="CN2" s="1"/>
      <c r="CO2" s="7" t="s">
        <v>25</v>
      </c>
      <c r="CP2" s="159"/>
      <c r="CQ2" s="169"/>
      <c r="CR2" s="1"/>
      <c r="CS2" s="7" t="s">
        <v>25</v>
      </c>
      <c r="CT2" s="159"/>
      <c r="CU2" s="169"/>
      <c r="CV2" s="1"/>
      <c r="CW2" s="7" t="s">
        <v>25</v>
      </c>
      <c r="CX2" s="159"/>
      <c r="CY2" s="169"/>
      <c r="CZ2" s="1"/>
      <c r="DA2" s="7" t="s">
        <v>25</v>
      </c>
      <c r="DB2" s="159"/>
      <c r="DC2" s="169"/>
      <c r="DD2" s="1"/>
      <c r="DE2" s="7" t="s">
        <v>25</v>
      </c>
      <c r="DF2" s="159"/>
      <c r="DG2" s="169"/>
      <c r="DH2" s="1"/>
      <c r="DI2" s="7" t="s">
        <v>25</v>
      </c>
      <c r="DJ2" s="159"/>
      <c r="DK2" s="169"/>
      <c r="DL2" s="1"/>
      <c r="DM2" s="7" t="s">
        <v>25</v>
      </c>
      <c r="DN2" s="159"/>
      <c r="DO2" s="169"/>
      <c r="DP2" s="1"/>
      <c r="DQ2" s="7" t="s">
        <v>25</v>
      </c>
      <c r="DR2" s="159"/>
      <c r="DS2" s="169"/>
      <c r="DT2" s="1"/>
      <c r="DU2" s="7" t="s">
        <v>25</v>
      </c>
      <c r="DV2" s="159"/>
      <c r="DW2" s="169"/>
      <c r="DX2" s="1"/>
      <c r="DY2" s="7" t="s">
        <v>25</v>
      </c>
      <c r="DZ2" s="159"/>
      <c r="EA2" s="169"/>
      <c r="EB2" s="1"/>
      <c r="EC2" s="7" t="s">
        <v>25</v>
      </c>
      <c r="ED2" s="159"/>
      <c r="EE2" s="169"/>
      <c r="EF2" s="1"/>
      <c r="EG2" s="7" t="s">
        <v>25</v>
      </c>
      <c r="EH2" s="159"/>
      <c r="EI2" s="169"/>
      <c r="EJ2" s="1"/>
      <c r="EK2" s="7" t="s">
        <v>25</v>
      </c>
      <c r="EL2" s="159"/>
      <c r="EM2" s="169"/>
      <c r="EN2" s="1"/>
      <c r="EO2" s="7" t="s">
        <v>25</v>
      </c>
      <c r="EP2" s="159"/>
      <c r="EQ2" s="169"/>
      <c r="ER2" s="1"/>
      <c r="ES2" s="7" t="s">
        <v>25</v>
      </c>
      <c r="ET2" s="159"/>
      <c r="EU2" s="169"/>
      <c r="EV2" s="1"/>
      <c r="EW2" s="7" t="s">
        <v>25</v>
      </c>
      <c r="EX2" s="159"/>
      <c r="EY2" s="169"/>
      <c r="EZ2" s="1"/>
      <c r="FA2" s="7" t="s">
        <v>25</v>
      </c>
      <c r="FB2" s="159"/>
      <c r="FC2" s="169"/>
      <c r="FD2" s="1"/>
      <c r="FE2" s="7" t="s">
        <v>25</v>
      </c>
      <c r="FF2" s="159"/>
      <c r="FG2" s="169"/>
      <c r="FH2" s="1"/>
      <c r="FI2" s="7" t="s">
        <v>25</v>
      </c>
      <c r="FJ2" s="159"/>
      <c r="FK2" s="169"/>
      <c r="FL2" s="1"/>
      <c r="FM2" s="7" t="s">
        <v>25</v>
      </c>
      <c r="FN2" s="159"/>
      <c r="FO2" s="169"/>
      <c r="FP2" s="1"/>
      <c r="FQ2" s="7" t="s">
        <v>25</v>
      </c>
      <c r="FR2" s="159"/>
      <c r="FS2" s="169"/>
      <c r="FT2" s="1"/>
      <c r="FU2" s="7" t="s">
        <v>25</v>
      </c>
      <c r="FV2" s="159"/>
      <c r="FW2" s="169"/>
      <c r="FX2" s="1"/>
      <c r="FY2" s="7" t="s">
        <v>25</v>
      </c>
      <c r="FZ2" s="159"/>
      <c r="GA2" s="169"/>
      <c r="GB2" s="1"/>
      <c r="GC2" s="7" t="s">
        <v>25</v>
      </c>
      <c r="GD2" s="159"/>
      <c r="GE2" s="169"/>
      <c r="GF2" s="1"/>
      <c r="GG2" s="7" t="s">
        <v>25</v>
      </c>
      <c r="GH2" s="159"/>
      <c r="GI2" s="169"/>
      <c r="GJ2" s="1"/>
      <c r="GK2" s="7" t="s">
        <v>25</v>
      </c>
      <c r="GL2" s="159"/>
      <c r="GM2" s="169"/>
      <c r="GN2" s="1"/>
      <c r="GO2" s="7" t="s">
        <v>25</v>
      </c>
      <c r="GP2" s="159"/>
      <c r="GQ2" s="169"/>
      <c r="GR2" s="1"/>
      <c r="GS2" s="7" t="s">
        <v>25</v>
      </c>
      <c r="GT2" s="159"/>
      <c r="GU2" s="169"/>
    </row>
    <row r="3" spans="1:203">
      <c r="A3" s="72">
        <v>44592</v>
      </c>
      <c r="B3" s="76">
        <f>+'t-accounts month 1'!B35</f>
        <v>113825</v>
      </c>
      <c r="C3" s="11"/>
      <c r="E3" s="110">
        <v>44593</v>
      </c>
      <c r="F3" s="10">
        <v>0</v>
      </c>
      <c r="G3" s="11"/>
      <c r="I3" s="110">
        <v>44593</v>
      </c>
      <c r="J3" s="114">
        <v>5700</v>
      </c>
      <c r="K3" s="77"/>
      <c r="M3" s="110">
        <v>44600</v>
      </c>
      <c r="N3" s="55"/>
      <c r="O3" s="11">
        <v>3675</v>
      </c>
      <c r="P3" s="12"/>
      <c r="Q3" s="110">
        <v>44600</v>
      </c>
      <c r="R3" s="10"/>
      <c r="S3" s="11">
        <v>3500</v>
      </c>
      <c r="U3" s="110">
        <v>44600</v>
      </c>
      <c r="V3" s="10"/>
      <c r="W3" s="11">
        <v>275</v>
      </c>
      <c r="Y3" s="110">
        <v>44600</v>
      </c>
      <c r="Z3" s="78"/>
      <c r="AA3" s="11">
        <v>10</v>
      </c>
      <c r="AC3" s="110">
        <v>44600</v>
      </c>
      <c r="AD3" s="10"/>
      <c r="AE3" s="11">
        <v>100</v>
      </c>
      <c r="AG3" s="110">
        <v>44620</v>
      </c>
      <c r="AH3" s="10">
        <v>5700</v>
      </c>
      <c r="AI3" s="11"/>
      <c r="AK3" s="110">
        <v>44620</v>
      </c>
      <c r="AL3" s="10">
        <v>5100</v>
      </c>
      <c r="AM3" s="11"/>
      <c r="AO3" s="110">
        <v>44620</v>
      </c>
      <c r="AP3" s="10"/>
      <c r="AQ3" s="11">
        <v>16200</v>
      </c>
      <c r="AS3" s="110">
        <v>44620</v>
      </c>
      <c r="AT3" s="10"/>
      <c r="AU3" s="11">
        <v>300</v>
      </c>
      <c r="AW3" s="110">
        <v>44620</v>
      </c>
      <c r="AX3" s="10"/>
      <c r="AY3" s="11">
        <v>15000</v>
      </c>
      <c r="BA3" s="110">
        <v>44620</v>
      </c>
      <c r="BB3" s="10">
        <v>0</v>
      </c>
      <c r="BC3" s="11"/>
      <c r="BE3" s="110">
        <v>44620</v>
      </c>
      <c r="BF3" s="10"/>
      <c r="BG3" s="11">
        <v>0</v>
      </c>
      <c r="BI3" s="110">
        <v>44592</v>
      </c>
      <c r="BJ3" s="10">
        <f>+'t-accounts month 1'!R35</f>
        <v>2525</v>
      </c>
      <c r="BK3" s="115"/>
      <c r="BM3" s="110">
        <v>44620</v>
      </c>
      <c r="BN3" s="10">
        <v>1555</v>
      </c>
      <c r="BO3" s="11"/>
      <c r="BQ3" s="110">
        <v>44620</v>
      </c>
      <c r="BR3" s="10">
        <v>515</v>
      </c>
      <c r="BS3" s="11"/>
      <c r="BU3" s="110">
        <v>44620</v>
      </c>
      <c r="BV3" s="10">
        <v>300</v>
      </c>
      <c r="BW3" s="11"/>
      <c r="BY3" s="110">
        <v>44600</v>
      </c>
      <c r="BZ3" s="10"/>
      <c r="CA3" s="11">
        <v>10</v>
      </c>
      <c r="CC3" s="110">
        <v>44600</v>
      </c>
      <c r="CD3" s="10"/>
      <c r="CE3" s="11">
        <v>100</v>
      </c>
      <c r="CG3" s="110" t="s">
        <v>130</v>
      </c>
      <c r="CH3" s="78">
        <v>500</v>
      </c>
      <c r="CI3" s="11"/>
      <c r="CK3" s="72" cm="1">
        <f t="array" ref="CK3:CM3">+'t-accounts month 1'!CH3:CJ3</f>
        <v>44592</v>
      </c>
      <c r="CL3" s="140">
        <v>0</v>
      </c>
      <c r="CM3">
        <v>500</v>
      </c>
      <c r="CO3" s="9"/>
      <c r="CP3" s="10"/>
      <c r="CQ3" s="11"/>
      <c r="CS3" s="9"/>
      <c r="CT3" s="10"/>
      <c r="CU3" s="11"/>
      <c r="CW3" s="9"/>
      <c r="CX3" s="10"/>
      <c r="CY3" s="11"/>
      <c r="DA3" s="9"/>
      <c r="DB3" s="10"/>
      <c r="DC3" s="11"/>
      <c r="DE3" s="9"/>
      <c r="DF3" s="10"/>
      <c r="DG3" s="11"/>
      <c r="DI3" s="9"/>
      <c r="DJ3" s="10"/>
      <c r="DK3" s="11"/>
      <c r="DM3" s="9"/>
      <c r="DN3" s="10"/>
      <c r="DO3" s="11"/>
      <c r="DQ3" s="9"/>
      <c r="DR3" s="10"/>
      <c r="DS3" s="11"/>
      <c r="DU3" s="9"/>
      <c r="DV3" s="10"/>
      <c r="DW3" s="11"/>
      <c r="DY3" s="9"/>
      <c r="DZ3" s="10"/>
      <c r="EA3" s="11"/>
      <c r="EC3" s="9"/>
      <c r="ED3" s="10"/>
      <c r="EE3" s="11"/>
      <c r="EG3" s="9"/>
      <c r="EH3" s="10"/>
      <c r="EI3" s="11"/>
      <c r="EK3" s="9"/>
      <c r="EL3" s="10"/>
      <c r="EM3" s="11"/>
      <c r="EO3" s="9"/>
      <c r="EP3" s="10"/>
      <c r="EQ3" s="11"/>
      <c r="ES3" s="9"/>
      <c r="ET3" s="10"/>
      <c r="EU3" s="11"/>
      <c r="EW3" s="9"/>
      <c r="EX3" s="10"/>
      <c r="EY3" s="11"/>
      <c r="FA3" s="9"/>
      <c r="FB3" s="10"/>
      <c r="FC3" s="11"/>
      <c r="FE3" s="9"/>
      <c r="FF3" s="10"/>
      <c r="FG3" s="11"/>
      <c r="FI3" s="9"/>
      <c r="FJ3" s="10"/>
      <c r="FK3" s="11"/>
      <c r="FM3" s="9"/>
      <c r="FN3" s="10"/>
      <c r="FO3" s="11"/>
      <c r="FQ3" s="9"/>
      <c r="FR3" s="10"/>
      <c r="FS3" s="11"/>
      <c r="FU3" s="9"/>
      <c r="FV3" s="10"/>
      <c r="FW3" s="11"/>
      <c r="FY3" s="9"/>
      <c r="FZ3" s="10"/>
      <c r="GA3" s="11"/>
      <c r="GC3" s="9"/>
      <c r="GD3" s="10"/>
      <c r="GE3" s="11"/>
      <c r="GG3" s="9"/>
      <c r="GH3" s="10"/>
      <c r="GI3" s="11"/>
      <c r="GK3" s="9"/>
      <c r="GL3" s="10"/>
      <c r="GM3" s="11"/>
      <c r="GO3" s="9"/>
      <c r="GP3" s="10"/>
      <c r="GQ3" s="11"/>
      <c r="GS3" s="9"/>
      <c r="GT3" s="10"/>
      <c r="GU3" s="11"/>
    </row>
    <row r="4" spans="1:203">
      <c r="A4" s="72">
        <v>44593</v>
      </c>
      <c r="B4" s="10"/>
      <c r="C4" s="11">
        <v>300</v>
      </c>
      <c r="E4" s="9"/>
      <c r="F4" s="10" t="s">
        <v>247</v>
      </c>
      <c r="G4" s="11"/>
      <c r="I4" s="110">
        <v>44620</v>
      </c>
      <c r="J4" s="10"/>
      <c r="K4" s="11">
        <v>5700</v>
      </c>
      <c r="M4" s="110">
        <v>44607</v>
      </c>
      <c r="N4" s="78"/>
      <c r="O4" s="11">
        <v>3675</v>
      </c>
      <c r="P4" s="12"/>
      <c r="Q4" s="110">
        <v>44607</v>
      </c>
      <c r="R4" s="10"/>
      <c r="S4" s="11">
        <v>3500</v>
      </c>
      <c r="U4" s="110">
        <v>44607</v>
      </c>
      <c r="V4" s="10"/>
      <c r="W4" s="11">
        <v>275</v>
      </c>
      <c r="Y4" s="110">
        <v>44607</v>
      </c>
      <c r="Z4" s="78"/>
      <c r="AA4" s="11">
        <v>10</v>
      </c>
      <c r="AC4" s="110">
        <v>44607</v>
      </c>
      <c r="AD4" s="10"/>
      <c r="AE4" s="11">
        <v>100</v>
      </c>
      <c r="AG4" s="9"/>
      <c r="AH4" s="10"/>
      <c r="AI4" s="11"/>
      <c r="AK4" s="110">
        <v>44620</v>
      </c>
      <c r="AL4" s="10">
        <v>2600</v>
      </c>
      <c r="AM4" s="11"/>
      <c r="AO4" s="9"/>
      <c r="AP4" s="10"/>
      <c r="AQ4" s="11"/>
      <c r="AS4" s="9"/>
      <c r="AT4" s="10"/>
      <c r="AU4" s="11"/>
      <c r="AW4" s="9"/>
      <c r="AX4" s="10"/>
      <c r="AY4" s="11"/>
      <c r="BA4" s="9"/>
      <c r="BB4" s="10"/>
      <c r="BC4" s="11"/>
      <c r="BE4" s="9"/>
      <c r="BF4" s="10"/>
      <c r="BG4" s="11"/>
      <c r="BI4" s="110">
        <v>44593</v>
      </c>
      <c r="BJ4" s="10"/>
      <c r="BK4" s="115">
        <v>300</v>
      </c>
      <c r="BL4" s="116"/>
      <c r="BM4" s="9"/>
      <c r="BN4" s="10"/>
      <c r="BO4" s="11"/>
      <c r="BQ4" s="9"/>
      <c r="BR4" s="10"/>
      <c r="BS4" s="11"/>
      <c r="BU4" s="9"/>
      <c r="BV4" s="10"/>
      <c r="BW4" s="11"/>
      <c r="BY4" s="110">
        <v>44607</v>
      </c>
      <c r="BZ4" s="10"/>
      <c r="CA4" s="11">
        <v>10</v>
      </c>
      <c r="CC4" s="110">
        <v>44607</v>
      </c>
      <c r="CD4" s="10"/>
      <c r="CE4" s="11">
        <v>100</v>
      </c>
      <c r="CG4" s="80"/>
      <c r="CH4" s="10"/>
      <c r="CI4" s="11"/>
      <c r="CK4" s="110" t="s">
        <v>130</v>
      </c>
      <c r="CM4" s="115">
        <v>500</v>
      </c>
      <c r="CO4" s="9"/>
      <c r="CP4" s="10"/>
      <c r="CQ4" s="11"/>
      <c r="CS4" s="9"/>
      <c r="CT4" s="10"/>
      <c r="CU4" s="11"/>
      <c r="CW4" s="9"/>
      <c r="CX4" s="10"/>
      <c r="CY4" s="11"/>
      <c r="DA4" s="9"/>
      <c r="DB4" s="10"/>
      <c r="DC4" s="11"/>
      <c r="DE4" s="9"/>
      <c r="DF4" s="10"/>
      <c r="DG4" s="11"/>
      <c r="DI4" s="9"/>
      <c r="DJ4" s="10"/>
      <c r="DK4" s="11"/>
      <c r="DM4" s="9"/>
      <c r="DN4" s="10"/>
      <c r="DO4" s="11"/>
      <c r="DQ4" s="9"/>
      <c r="DR4" s="10"/>
      <c r="DS4" s="11"/>
      <c r="DU4" s="9"/>
      <c r="DV4" s="10"/>
      <c r="DW4" s="11"/>
      <c r="DY4" s="9"/>
      <c r="DZ4" s="10"/>
      <c r="EA4" s="11"/>
      <c r="EC4" s="9"/>
      <c r="ED4" s="10"/>
      <c r="EE4" s="11"/>
      <c r="EG4" s="9"/>
      <c r="EH4" s="10"/>
      <c r="EI4" s="11"/>
      <c r="EK4" s="9"/>
      <c r="EL4" s="10"/>
      <c r="EM4" s="11"/>
      <c r="EO4" s="9"/>
      <c r="EP4" s="10"/>
      <c r="EQ4" s="11"/>
      <c r="ES4" s="9"/>
      <c r="ET4" s="10"/>
      <c r="EU4" s="11"/>
      <c r="EW4" s="9"/>
      <c r="EX4" s="10"/>
      <c r="EY4" s="11"/>
      <c r="FA4" s="9"/>
      <c r="FB4" s="10"/>
      <c r="FC4" s="11"/>
      <c r="FE4" s="9"/>
      <c r="FF4" s="10"/>
      <c r="FG4" s="11"/>
      <c r="FI4" s="9"/>
      <c r="FJ4" s="10"/>
      <c r="FK4" s="11"/>
      <c r="FM4" s="9"/>
      <c r="FN4" s="10"/>
      <c r="FO4" s="11"/>
      <c r="FQ4" s="9"/>
      <c r="FR4" s="10"/>
      <c r="FS4" s="11"/>
      <c r="FU4" s="9"/>
      <c r="FV4" s="10"/>
      <c r="FW4" s="11"/>
      <c r="FY4" s="9"/>
      <c r="FZ4" s="10"/>
      <c r="GA4" s="11"/>
      <c r="GC4" s="9"/>
      <c r="GD4" s="10"/>
      <c r="GE4" s="11"/>
      <c r="GG4" s="9"/>
      <c r="GH4" s="10"/>
      <c r="GI4" s="11"/>
      <c r="GK4" s="9"/>
      <c r="GL4" s="10"/>
      <c r="GM4" s="11"/>
      <c r="GO4" s="9"/>
      <c r="GP4" s="10"/>
      <c r="GQ4" s="11"/>
      <c r="GS4" s="9"/>
      <c r="GT4" s="10"/>
      <c r="GU4" s="11"/>
    </row>
    <row r="5" spans="1:203">
      <c r="A5" s="72">
        <v>44593</v>
      </c>
      <c r="B5" s="10"/>
      <c r="C5" s="11">
        <v>5700</v>
      </c>
      <c r="E5" s="9"/>
      <c r="F5" s="10"/>
      <c r="G5" s="11"/>
      <c r="I5" s="9"/>
      <c r="J5" s="10"/>
      <c r="K5" s="11"/>
      <c r="M5" s="110">
        <v>44614</v>
      </c>
      <c r="N5" s="78"/>
      <c r="O5" s="11">
        <v>3675</v>
      </c>
      <c r="P5" s="12"/>
      <c r="Q5" s="110">
        <v>44614</v>
      </c>
      <c r="R5" s="10"/>
      <c r="S5" s="11">
        <v>3500</v>
      </c>
      <c r="U5" s="110">
        <v>44614</v>
      </c>
      <c r="V5" s="10"/>
      <c r="W5" s="11">
        <v>275</v>
      </c>
      <c r="Y5" s="110">
        <v>44614</v>
      </c>
      <c r="AA5" s="11">
        <v>50</v>
      </c>
      <c r="AC5" s="110">
        <v>44614</v>
      </c>
      <c r="AD5" s="10"/>
      <c r="AE5" s="11">
        <v>100</v>
      </c>
      <c r="AG5" s="65"/>
      <c r="AH5" s="10"/>
      <c r="AI5" s="11"/>
      <c r="AK5" s="110">
        <v>44620</v>
      </c>
      <c r="AL5" s="10">
        <v>6000</v>
      </c>
      <c r="AM5" s="11"/>
      <c r="AO5" s="9"/>
      <c r="AP5" s="10"/>
      <c r="AQ5" s="11"/>
      <c r="AS5" s="9"/>
      <c r="AT5" s="10"/>
      <c r="AU5" s="11"/>
      <c r="AW5" s="9"/>
      <c r="AX5" s="10"/>
      <c r="AY5" s="11"/>
      <c r="BA5" s="9"/>
      <c r="BB5" s="10"/>
      <c r="BC5" s="11"/>
      <c r="BE5" s="9"/>
      <c r="BF5" s="10"/>
      <c r="BG5" s="11"/>
      <c r="BI5" s="110">
        <v>44620</v>
      </c>
      <c r="BJ5" s="10"/>
      <c r="BK5" s="115">
        <v>1555</v>
      </c>
      <c r="BM5" s="9"/>
      <c r="BN5" s="10"/>
      <c r="BO5" s="11"/>
      <c r="BQ5" s="9"/>
      <c r="BR5" s="10"/>
      <c r="BS5" s="11"/>
      <c r="BU5" s="9"/>
      <c r="BV5" s="10"/>
      <c r="BW5" s="11"/>
      <c r="BY5" s="110">
        <v>44614</v>
      </c>
      <c r="BZ5" s="10"/>
      <c r="CA5" s="11">
        <v>50</v>
      </c>
      <c r="CC5" s="110">
        <v>44614</v>
      </c>
      <c r="CD5" s="10"/>
      <c r="CE5" s="11">
        <v>100</v>
      </c>
      <c r="CG5" s="9"/>
      <c r="CH5" s="10"/>
      <c r="CI5" s="11"/>
      <c r="CK5" s="9"/>
      <c r="CL5" s="10"/>
      <c r="CM5" s="11"/>
      <c r="CO5" s="9"/>
      <c r="CP5" s="10"/>
      <c r="CQ5" s="11"/>
      <c r="CS5" s="9"/>
      <c r="CT5" s="10"/>
      <c r="CU5" s="11"/>
      <c r="CW5" s="9"/>
      <c r="CX5" s="10"/>
      <c r="CY5" s="11"/>
      <c r="DA5" s="9"/>
      <c r="DB5" s="10"/>
      <c r="DC5" s="11"/>
      <c r="DE5" s="9"/>
      <c r="DF5" s="10"/>
      <c r="DG5" s="11"/>
      <c r="DI5" s="9"/>
      <c r="DJ5" s="10"/>
      <c r="DK5" s="11"/>
      <c r="DM5" s="9"/>
      <c r="DN5" s="10"/>
      <c r="DO5" s="11"/>
      <c r="DQ5" s="9"/>
      <c r="DR5" s="10"/>
      <c r="DS5" s="11"/>
      <c r="DU5" s="9"/>
      <c r="DV5" s="10"/>
      <c r="DW5" s="11"/>
      <c r="DY5" s="9"/>
      <c r="DZ5" s="10"/>
      <c r="EA5" s="11"/>
      <c r="EC5" s="9"/>
      <c r="ED5" s="10"/>
      <c r="EE5" s="11"/>
      <c r="EG5" s="9"/>
      <c r="EH5" s="10"/>
      <c r="EI5" s="11"/>
      <c r="EK5" s="9"/>
      <c r="EL5" s="10"/>
      <c r="EM5" s="11"/>
      <c r="EO5" s="9"/>
      <c r="EP5" s="10"/>
      <c r="EQ5" s="11"/>
      <c r="ES5" s="9"/>
      <c r="ET5" s="10"/>
      <c r="EU5" s="11"/>
      <c r="EW5" s="9"/>
      <c r="EX5" s="10"/>
      <c r="EY5" s="11"/>
      <c r="FA5" s="9"/>
      <c r="FB5" s="10"/>
      <c r="FC5" s="11"/>
      <c r="FE5" s="9"/>
      <c r="FF5" s="10"/>
      <c r="FG5" s="11"/>
      <c r="FI5" s="9"/>
      <c r="FJ5" s="10"/>
      <c r="FK5" s="11"/>
      <c r="FM5" s="9"/>
      <c r="FN5" s="10"/>
      <c r="FO5" s="11"/>
      <c r="FQ5" s="9"/>
      <c r="FR5" s="10"/>
      <c r="FS5" s="11"/>
      <c r="FU5" s="9"/>
      <c r="FV5" s="10"/>
      <c r="FW5" s="11"/>
      <c r="FY5" s="9"/>
      <c r="FZ5" s="10"/>
      <c r="GA5" s="11"/>
      <c r="GC5" s="9"/>
      <c r="GD5" s="10"/>
      <c r="GE5" s="11"/>
      <c r="GG5" s="9"/>
      <c r="GH5" s="10"/>
      <c r="GI5" s="11"/>
      <c r="GK5" s="9"/>
      <c r="GL5" s="10"/>
      <c r="GM5" s="11"/>
      <c r="GO5" s="9"/>
      <c r="GP5" s="10"/>
      <c r="GQ5" s="11"/>
      <c r="GS5" s="9"/>
      <c r="GT5" s="10"/>
      <c r="GU5" s="11"/>
    </row>
    <row r="6" spans="1:203">
      <c r="A6" s="72">
        <v>44600</v>
      </c>
      <c r="B6" s="10">
        <v>7175</v>
      </c>
      <c r="C6" s="11"/>
      <c r="E6" s="75"/>
      <c r="F6" s="76"/>
      <c r="G6" s="11"/>
      <c r="I6" s="7"/>
      <c r="J6" s="10"/>
      <c r="K6" s="11"/>
      <c r="M6" s="110">
        <v>44620</v>
      </c>
      <c r="N6" s="78"/>
      <c r="O6" s="11">
        <v>3675</v>
      </c>
      <c r="P6" s="12"/>
      <c r="Q6" s="110">
        <v>44620</v>
      </c>
      <c r="R6" s="10"/>
      <c r="S6" s="11">
        <v>3500</v>
      </c>
      <c r="U6" s="110">
        <v>44620</v>
      </c>
      <c r="V6" s="10"/>
      <c r="W6" s="11">
        <v>275</v>
      </c>
      <c r="Y6" s="110">
        <v>44620</v>
      </c>
      <c r="Z6" s="78"/>
      <c r="AA6" s="11">
        <v>30</v>
      </c>
      <c r="AC6" s="110">
        <v>44620</v>
      </c>
      <c r="AD6" s="10"/>
      <c r="AE6" s="11">
        <v>50</v>
      </c>
      <c r="AG6" s="119"/>
      <c r="AH6" s="76"/>
      <c r="AI6" s="11"/>
      <c r="AK6" s="9"/>
      <c r="AL6" s="10"/>
      <c r="AM6" s="11"/>
      <c r="AO6" s="75"/>
      <c r="AP6" s="10"/>
      <c r="AQ6" s="81"/>
      <c r="AS6" s="75"/>
      <c r="AT6" s="10"/>
      <c r="AU6" s="81"/>
      <c r="AW6" s="75"/>
      <c r="AX6" s="10"/>
      <c r="AY6" s="81"/>
      <c r="BA6" s="75"/>
      <c r="BB6" s="76"/>
      <c r="BC6" s="11"/>
      <c r="BE6" s="75"/>
      <c r="BF6" s="10"/>
      <c r="BG6" s="81"/>
      <c r="BI6" s="110">
        <v>44620</v>
      </c>
      <c r="BJ6" s="10"/>
      <c r="BK6" s="118">
        <v>515</v>
      </c>
      <c r="BM6" s="75"/>
      <c r="BN6" s="76"/>
      <c r="BO6" s="11"/>
      <c r="BQ6" s="75"/>
      <c r="BR6" s="76"/>
      <c r="BS6" s="11"/>
      <c r="BU6" s="75"/>
      <c r="BV6" s="76"/>
      <c r="BW6" s="11"/>
      <c r="BY6" s="110">
        <v>44620</v>
      </c>
      <c r="BZ6" s="10"/>
      <c r="CA6" s="11">
        <v>30</v>
      </c>
      <c r="CC6" s="110">
        <v>44620</v>
      </c>
      <c r="CD6" s="10"/>
      <c r="CE6" s="11">
        <v>50</v>
      </c>
      <c r="CG6" s="75"/>
      <c r="CH6" s="76"/>
      <c r="CI6" s="11"/>
      <c r="CK6" s="75"/>
      <c r="CL6" s="10"/>
      <c r="CM6" s="81"/>
      <c r="CO6" s="9"/>
      <c r="CP6" s="10"/>
      <c r="CQ6" s="11"/>
      <c r="CS6" s="9"/>
      <c r="CT6" s="10"/>
      <c r="CU6" s="11"/>
      <c r="CW6" s="9"/>
      <c r="CX6" s="10"/>
      <c r="CY6" s="11"/>
      <c r="DA6" s="9"/>
      <c r="DB6" s="10"/>
      <c r="DC6" s="11"/>
      <c r="DE6" s="9"/>
      <c r="DF6" s="10"/>
      <c r="DG6" s="11"/>
      <c r="DI6" s="9"/>
      <c r="DJ6" s="10"/>
      <c r="DK6" s="11"/>
      <c r="DM6" s="9"/>
      <c r="DN6" s="10"/>
      <c r="DO6" s="11"/>
      <c r="DQ6" s="9"/>
      <c r="DR6" s="10"/>
      <c r="DS6" s="11"/>
      <c r="DU6" s="9"/>
      <c r="DV6" s="10"/>
      <c r="DW6" s="11"/>
      <c r="DY6" s="9"/>
      <c r="DZ6" s="10"/>
      <c r="EA6" s="11"/>
      <c r="EC6" s="9"/>
      <c r="ED6" s="10"/>
      <c r="EE6" s="11"/>
      <c r="EG6" s="9"/>
      <c r="EH6" s="10"/>
      <c r="EI6" s="11"/>
      <c r="EK6" s="9"/>
      <c r="EL6" s="10"/>
      <c r="EM6" s="11"/>
      <c r="EO6" s="9"/>
      <c r="EP6" s="10"/>
      <c r="EQ6" s="11"/>
      <c r="ES6" s="9"/>
      <c r="ET6" s="10"/>
      <c r="EU6" s="11"/>
      <c r="EW6" s="9"/>
      <c r="EX6" s="10"/>
      <c r="EY6" s="11"/>
      <c r="FA6" s="9"/>
      <c r="FB6" s="10"/>
      <c r="FC6" s="11"/>
      <c r="FE6" s="9"/>
      <c r="FF6" s="10"/>
      <c r="FG6" s="11"/>
      <c r="FI6" s="9"/>
      <c r="FJ6" s="10"/>
      <c r="FK6" s="11"/>
      <c r="FM6" s="9"/>
      <c r="FN6" s="10"/>
      <c r="FO6" s="11"/>
      <c r="FQ6" s="9"/>
      <c r="FR6" s="10"/>
      <c r="FS6" s="11"/>
      <c r="FU6" s="9"/>
      <c r="FV6" s="10"/>
      <c r="FW6" s="11"/>
      <c r="FY6" s="9"/>
      <c r="FZ6" s="10"/>
      <c r="GA6" s="11"/>
      <c r="GC6" s="9"/>
      <c r="GD6" s="10"/>
      <c r="GE6" s="11"/>
      <c r="GG6" s="9"/>
      <c r="GH6" s="10"/>
      <c r="GI6" s="11"/>
      <c r="GK6" s="9"/>
      <c r="GL6" s="10"/>
      <c r="GM6" s="11"/>
      <c r="GO6" s="9"/>
      <c r="GP6" s="10"/>
      <c r="GQ6" s="11"/>
      <c r="GS6" s="9"/>
      <c r="GT6" s="10"/>
      <c r="GU6" s="11"/>
    </row>
    <row r="7" spans="1:203">
      <c r="A7" s="72">
        <v>44600</v>
      </c>
      <c r="B7" s="10">
        <v>275</v>
      </c>
      <c r="C7" s="11"/>
      <c r="E7" s="9"/>
      <c r="F7" s="10"/>
      <c r="G7" s="11"/>
      <c r="I7" s="75"/>
      <c r="J7" s="10"/>
      <c r="K7" s="81"/>
      <c r="M7" s="9"/>
      <c r="N7" s="10"/>
      <c r="O7" s="11"/>
      <c r="P7" s="12"/>
      <c r="Q7" s="9"/>
      <c r="R7" s="10"/>
      <c r="S7" s="11"/>
      <c r="U7" s="9"/>
      <c r="V7" s="10"/>
      <c r="W7" s="11"/>
      <c r="Y7" s="9"/>
      <c r="Z7" s="10"/>
      <c r="AA7" s="11"/>
      <c r="AC7" s="9"/>
      <c r="AD7" s="10"/>
      <c r="AE7" s="11"/>
      <c r="AG7" s="9"/>
      <c r="AH7" s="10"/>
      <c r="AI7" s="11"/>
      <c r="AK7" s="9"/>
      <c r="AL7" s="10"/>
      <c r="AM7" s="11"/>
      <c r="AO7" s="9"/>
      <c r="AP7" s="10"/>
      <c r="AQ7" s="11"/>
      <c r="AS7" s="9"/>
      <c r="AT7" s="10"/>
      <c r="AU7" s="11"/>
      <c r="AW7" s="9"/>
      <c r="AX7" s="10"/>
      <c r="AY7" s="11"/>
      <c r="BA7" s="9"/>
      <c r="BB7" s="10"/>
      <c r="BC7" s="11"/>
      <c r="BE7" s="9"/>
      <c r="BF7" s="10"/>
      <c r="BG7" s="11"/>
      <c r="BI7" s="110"/>
      <c r="BJ7" s="10"/>
      <c r="BK7" s="117"/>
      <c r="BM7" s="9"/>
      <c r="BN7" s="10"/>
      <c r="BO7" s="11"/>
      <c r="BQ7" s="9"/>
      <c r="BR7" s="10"/>
      <c r="BS7" s="11"/>
      <c r="BU7" s="9"/>
      <c r="BV7" s="10"/>
      <c r="BW7" s="11"/>
      <c r="BY7" s="9"/>
      <c r="BZ7" s="10"/>
      <c r="CA7" s="11"/>
      <c r="CC7" s="9"/>
      <c r="CD7" s="10"/>
      <c r="CE7" s="11"/>
      <c r="CG7" s="9"/>
      <c r="CH7" s="10"/>
      <c r="CI7" s="11"/>
      <c r="CK7" s="9"/>
      <c r="CL7" s="10"/>
      <c r="CM7" s="11"/>
      <c r="CO7" s="9"/>
      <c r="CP7" s="10"/>
      <c r="CQ7" s="11"/>
      <c r="CS7" s="9"/>
      <c r="CT7" s="10"/>
      <c r="CU7" s="11"/>
      <c r="CW7" s="9"/>
      <c r="CX7" s="10"/>
      <c r="CY7" s="11"/>
      <c r="DA7" s="9"/>
      <c r="DB7" s="10"/>
      <c r="DC7" s="11"/>
      <c r="DE7" s="9"/>
      <c r="DF7" s="10"/>
      <c r="DG7" s="11"/>
      <c r="DI7" s="9"/>
      <c r="DJ7" s="10"/>
      <c r="DK7" s="11"/>
      <c r="DM7" s="9"/>
      <c r="DN7" s="10"/>
      <c r="DO7" s="11"/>
      <c r="DQ7" s="9"/>
      <c r="DR7" s="10"/>
      <c r="DS7" s="11"/>
      <c r="DU7" s="9"/>
      <c r="DV7" s="10"/>
      <c r="DW7" s="11"/>
      <c r="DY7" s="9"/>
      <c r="DZ7" s="10"/>
      <c r="EA7" s="11"/>
      <c r="EC7" s="9"/>
      <c r="ED7" s="10"/>
      <c r="EE7" s="11"/>
      <c r="EG7" s="9"/>
      <c r="EH7" s="10"/>
      <c r="EI7" s="11"/>
      <c r="EK7" s="9"/>
      <c r="EL7" s="10"/>
      <c r="EM7" s="11"/>
      <c r="EO7" s="9"/>
      <c r="EP7" s="10"/>
      <c r="EQ7" s="11"/>
      <c r="ES7" s="9"/>
      <c r="ET7" s="10"/>
      <c r="EU7" s="11"/>
      <c r="EW7" s="9"/>
      <c r="EX7" s="10"/>
      <c r="EY7" s="11"/>
      <c r="FA7" s="9"/>
      <c r="FB7" s="10"/>
      <c r="FC7" s="11"/>
      <c r="FE7" s="9"/>
      <c r="FF7" s="10"/>
      <c r="FG7" s="11"/>
      <c r="FI7" s="9"/>
      <c r="FJ7" s="10"/>
      <c r="FK7" s="11"/>
      <c r="FM7" s="9"/>
      <c r="FN7" s="10"/>
      <c r="FO7" s="11"/>
      <c r="FQ7" s="9"/>
      <c r="FR7" s="10"/>
      <c r="FS7" s="11"/>
      <c r="FU7" s="9"/>
      <c r="FV7" s="10"/>
      <c r="FW7" s="11"/>
      <c r="FY7" s="9"/>
      <c r="FZ7" s="10"/>
      <c r="GA7" s="11"/>
      <c r="GC7" s="9"/>
      <c r="GD7" s="10"/>
      <c r="GE7" s="11"/>
      <c r="GG7" s="9"/>
      <c r="GH7" s="10"/>
      <c r="GI7" s="11"/>
      <c r="GK7" s="9"/>
      <c r="GL7" s="10"/>
      <c r="GM7" s="11"/>
      <c r="GO7" s="9"/>
      <c r="GP7" s="10"/>
      <c r="GQ7" s="11"/>
      <c r="GS7" s="9"/>
      <c r="GT7" s="10"/>
      <c r="GU7" s="11"/>
    </row>
    <row r="8" spans="1:203">
      <c r="A8" s="72">
        <v>44600</v>
      </c>
      <c r="B8" s="10">
        <v>110</v>
      </c>
      <c r="C8" s="11"/>
      <c r="E8" s="9"/>
      <c r="F8" s="10"/>
      <c r="G8" s="11"/>
      <c r="I8" s="9"/>
      <c r="J8" s="10"/>
      <c r="K8" s="11"/>
      <c r="M8" s="9"/>
      <c r="N8" s="10"/>
      <c r="O8" s="11"/>
      <c r="P8" s="12"/>
      <c r="Q8" s="9"/>
      <c r="R8" s="10"/>
      <c r="S8" s="11"/>
      <c r="U8" s="9"/>
      <c r="V8" s="10"/>
      <c r="W8" s="11"/>
      <c r="Y8" s="9"/>
      <c r="Z8" s="10"/>
      <c r="AA8" s="11"/>
      <c r="AC8" s="9"/>
      <c r="AD8" s="10"/>
      <c r="AE8" s="11"/>
      <c r="AG8" s="9"/>
      <c r="AH8" s="10"/>
      <c r="AI8" s="11"/>
      <c r="AK8" s="9"/>
      <c r="AL8" s="10"/>
      <c r="AM8" s="11"/>
      <c r="AO8" s="9"/>
      <c r="AP8" s="10"/>
      <c r="AQ8" s="11"/>
      <c r="AS8" s="9"/>
      <c r="AT8" s="10"/>
      <c r="AU8" s="11"/>
      <c r="AW8" s="9"/>
      <c r="AX8" s="10"/>
      <c r="AY8" s="11"/>
      <c r="BA8" s="9"/>
      <c r="BB8" s="10"/>
      <c r="BC8" s="11"/>
      <c r="BE8" s="9"/>
      <c r="BF8" s="10"/>
      <c r="BG8" s="11"/>
      <c r="BI8" s="9"/>
      <c r="BJ8" s="10"/>
      <c r="BK8" s="11"/>
      <c r="BM8" s="9"/>
      <c r="BN8" s="10"/>
      <c r="BO8" s="11"/>
      <c r="BQ8" s="9"/>
      <c r="BR8" s="10"/>
      <c r="BS8" s="11"/>
      <c r="BU8" s="9"/>
      <c r="BV8" s="10"/>
      <c r="BW8" s="11"/>
      <c r="BY8" s="9"/>
      <c r="BZ8" s="10"/>
      <c r="CA8" s="11"/>
      <c r="CC8" s="9"/>
      <c r="CD8" s="10"/>
      <c r="CE8" s="11"/>
      <c r="CG8" s="9"/>
      <c r="CH8" s="10"/>
      <c r="CI8" s="11"/>
      <c r="CK8" s="9"/>
      <c r="CL8" s="10"/>
      <c r="CM8" s="11"/>
      <c r="CO8" s="9"/>
      <c r="CP8" s="10"/>
      <c r="CQ8" s="11"/>
      <c r="CS8" s="9"/>
      <c r="CT8" s="10"/>
      <c r="CU8" s="11"/>
      <c r="CW8" s="9"/>
      <c r="CX8" s="10"/>
      <c r="CY8" s="11"/>
      <c r="DA8" s="9"/>
      <c r="DB8" s="10"/>
      <c r="DC8" s="11"/>
      <c r="DE8" s="9"/>
      <c r="DF8" s="10"/>
      <c r="DG8" s="11"/>
      <c r="DI8" s="9"/>
      <c r="DJ8" s="10"/>
      <c r="DK8" s="11"/>
      <c r="DM8" s="9"/>
      <c r="DN8" s="10"/>
      <c r="DO8" s="11"/>
      <c r="DQ8" s="9"/>
      <c r="DR8" s="10"/>
      <c r="DS8" s="11"/>
      <c r="DU8" s="9"/>
      <c r="DV8" s="10"/>
      <c r="DW8" s="11"/>
      <c r="DY8" s="9"/>
      <c r="DZ8" s="10"/>
      <c r="EA8" s="11"/>
      <c r="EC8" s="9"/>
      <c r="ED8" s="10"/>
      <c r="EE8" s="11"/>
      <c r="EG8" s="9"/>
      <c r="EH8" s="10"/>
      <c r="EI8" s="11"/>
      <c r="EK8" s="9"/>
      <c r="EL8" s="10"/>
      <c r="EM8" s="11"/>
      <c r="EO8" s="9"/>
      <c r="EP8" s="10"/>
      <c r="EQ8" s="11"/>
      <c r="ES8" s="9"/>
      <c r="ET8" s="10"/>
      <c r="EU8" s="11"/>
      <c r="EW8" s="9"/>
      <c r="EX8" s="10"/>
      <c r="EY8" s="11"/>
      <c r="FA8" s="9"/>
      <c r="FB8" s="10"/>
      <c r="FC8" s="11"/>
      <c r="FE8" s="9"/>
      <c r="FF8" s="10"/>
      <c r="FG8" s="11"/>
      <c r="FI8" s="9"/>
      <c r="FJ8" s="10"/>
      <c r="FK8" s="11"/>
      <c r="FM8" s="9"/>
      <c r="FN8" s="10"/>
      <c r="FO8" s="11"/>
      <c r="FQ8" s="9"/>
      <c r="FR8" s="10"/>
      <c r="FS8" s="11"/>
      <c r="FU8" s="9"/>
      <c r="FV8" s="10"/>
      <c r="FW8" s="11"/>
      <c r="FY8" s="9"/>
      <c r="FZ8" s="10"/>
      <c r="GA8" s="11"/>
      <c r="GC8" s="9"/>
      <c r="GD8" s="10"/>
      <c r="GE8" s="11"/>
      <c r="GG8" s="9"/>
      <c r="GH8" s="10"/>
      <c r="GI8" s="11"/>
      <c r="GK8" s="9"/>
      <c r="GL8" s="10"/>
      <c r="GM8" s="11"/>
      <c r="GO8" s="9"/>
      <c r="GP8" s="10"/>
      <c r="GQ8" s="11"/>
      <c r="GS8" s="9"/>
      <c r="GT8" s="10"/>
      <c r="GU8" s="11"/>
    </row>
    <row r="9" spans="1:203">
      <c r="A9" s="72">
        <v>44607</v>
      </c>
      <c r="B9" s="10">
        <v>7175</v>
      </c>
      <c r="C9" s="11"/>
      <c r="E9" s="9"/>
      <c r="F9" s="10"/>
      <c r="G9" s="11"/>
      <c r="I9" s="9"/>
      <c r="J9" s="10"/>
      <c r="K9" s="11"/>
      <c r="M9" s="75"/>
      <c r="N9" s="76"/>
      <c r="O9" s="81"/>
      <c r="P9" s="12"/>
      <c r="Q9" s="75"/>
      <c r="R9" s="76"/>
      <c r="S9" s="81"/>
      <c r="U9" s="75"/>
      <c r="V9" s="76"/>
      <c r="W9" s="81"/>
      <c r="Y9" s="75"/>
      <c r="Z9" s="76"/>
      <c r="AA9" s="81"/>
      <c r="AC9" s="75"/>
      <c r="AD9" s="76"/>
      <c r="AE9" s="81"/>
      <c r="AG9" s="9"/>
      <c r="AH9" s="10"/>
      <c r="AI9" s="11"/>
      <c r="AK9" s="75"/>
      <c r="AL9" s="76"/>
      <c r="AM9" s="11"/>
      <c r="AO9" s="9"/>
      <c r="AP9" s="10"/>
      <c r="AQ9" s="11"/>
      <c r="AS9" s="9"/>
      <c r="AT9" s="10"/>
      <c r="AU9" s="11"/>
      <c r="AW9" s="9"/>
      <c r="AX9" s="10"/>
      <c r="AY9" s="11"/>
      <c r="BA9" s="9"/>
      <c r="BB9" s="10"/>
      <c r="BC9" s="11"/>
      <c r="BE9" s="9"/>
      <c r="BF9" s="10"/>
      <c r="BG9" s="11"/>
      <c r="BI9" s="75"/>
      <c r="BJ9" s="76"/>
      <c r="BK9" s="81"/>
      <c r="BM9" s="9"/>
      <c r="BN9" s="10"/>
      <c r="BO9" s="11"/>
      <c r="BQ9" s="9"/>
      <c r="BR9" s="10"/>
      <c r="BS9" s="11"/>
      <c r="BU9" s="9"/>
      <c r="BV9" s="10"/>
      <c r="BW9" s="11"/>
      <c r="BY9" s="75"/>
      <c r="BZ9" s="10"/>
      <c r="CA9" s="81"/>
      <c r="CC9" s="75"/>
      <c r="CD9" s="10"/>
      <c r="CE9" s="81"/>
      <c r="CG9" s="9"/>
      <c r="CH9" s="10"/>
      <c r="CI9" s="11"/>
      <c r="CK9" s="9"/>
      <c r="CL9" s="10"/>
      <c r="CM9" s="11"/>
      <c r="CO9" s="9"/>
      <c r="CP9" s="10"/>
      <c r="CQ9" s="11"/>
      <c r="CS9" s="9"/>
      <c r="CT9" s="10"/>
      <c r="CU9" s="11"/>
      <c r="CW9" s="9"/>
      <c r="CX9" s="10"/>
      <c r="CY9" s="11"/>
      <c r="DA9" s="9"/>
      <c r="DB9" s="10"/>
      <c r="DC9" s="11"/>
      <c r="DE9" s="9"/>
      <c r="DF9" s="10"/>
      <c r="DG9" s="11"/>
      <c r="DI9" s="9"/>
      <c r="DJ9" s="10"/>
      <c r="DK9" s="11"/>
      <c r="DM9" s="9"/>
      <c r="DN9" s="10"/>
      <c r="DO9" s="11"/>
      <c r="DQ9" s="9"/>
      <c r="DR9" s="10"/>
      <c r="DS9" s="11"/>
      <c r="DU9" s="9"/>
      <c r="DV9" s="10"/>
      <c r="DW9" s="11"/>
      <c r="DY9" s="9"/>
      <c r="DZ9" s="10"/>
      <c r="EA9" s="11"/>
      <c r="EC9" s="9"/>
      <c r="ED9" s="10"/>
      <c r="EE9" s="11"/>
      <c r="EG9" s="9"/>
      <c r="EH9" s="10"/>
      <c r="EI9" s="11"/>
      <c r="EK9" s="9"/>
      <c r="EL9" s="10"/>
      <c r="EM9" s="11"/>
      <c r="EO9" s="9"/>
      <c r="EP9" s="10"/>
      <c r="EQ9" s="11"/>
      <c r="ES9" s="9"/>
      <c r="ET9" s="10"/>
      <c r="EU9" s="11"/>
      <c r="EW9" s="9"/>
      <c r="EX9" s="10"/>
      <c r="EY9" s="11"/>
      <c r="FA9" s="9"/>
      <c r="FB9" s="10"/>
      <c r="FC9" s="11"/>
      <c r="FE9" s="9"/>
      <c r="FF9" s="10"/>
      <c r="FG9" s="11"/>
      <c r="FI9" s="9"/>
      <c r="FJ9" s="10"/>
      <c r="FK9" s="11"/>
      <c r="FM9" s="9"/>
      <c r="FN9" s="10"/>
      <c r="FO9" s="11"/>
      <c r="FQ9" s="9"/>
      <c r="FR9" s="10"/>
      <c r="FS9" s="11"/>
      <c r="FU9" s="9"/>
      <c r="FV9" s="10"/>
      <c r="FW9" s="11"/>
      <c r="FY9" s="9"/>
      <c r="FZ9" s="10"/>
      <c r="GA9" s="11"/>
      <c r="GC9" s="9"/>
      <c r="GD9" s="10"/>
      <c r="GE9" s="11"/>
      <c r="GG9" s="9"/>
      <c r="GH9" s="10"/>
      <c r="GI9" s="11"/>
      <c r="GK9" s="9"/>
      <c r="GL9" s="10"/>
      <c r="GM9" s="11"/>
      <c r="GO9" s="9"/>
      <c r="GP9" s="10"/>
      <c r="GQ9" s="11"/>
      <c r="GS9" s="9"/>
      <c r="GT9" s="10"/>
      <c r="GU9" s="11"/>
    </row>
    <row r="10" spans="1:203">
      <c r="A10" s="72">
        <v>44607</v>
      </c>
      <c r="B10" s="10">
        <v>275</v>
      </c>
      <c r="C10" s="11"/>
      <c r="E10" s="9"/>
      <c r="F10" s="10"/>
      <c r="G10" s="11"/>
      <c r="I10" s="9"/>
      <c r="J10" s="10"/>
      <c r="K10" s="11"/>
      <c r="M10" s="9"/>
      <c r="N10" s="10"/>
      <c r="O10" s="11"/>
      <c r="P10" s="12"/>
      <c r="Q10" s="9"/>
      <c r="R10" s="10"/>
      <c r="S10" s="11"/>
      <c r="U10" s="9"/>
      <c r="V10" s="10"/>
      <c r="W10" s="11"/>
      <c r="Y10" s="9"/>
      <c r="Z10" s="10"/>
      <c r="AA10" s="11"/>
      <c r="AC10" s="9"/>
      <c r="AD10" s="10"/>
      <c r="AE10" s="11"/>
      <c r="AG10" s="9"/>
      <c r="AH10" s="10"/>
      <c r="AI10" s="11"/>
      <c r="AK10" s="9"/>
      <c r="AL10" s="10"/>
      <c r="AM10" s="11"/>
      <c r="AO10" s="9"/>
      <c r="AP10" s="10"/>
      <c r="AQ10" s="11"/>
      <c r="AS10" s="9"/>
      <c r="AT10" s="10"/>
      <c r="AU10" s="11"/>
      <c r="AW10" s="9"/>
      <c r="AX10" s="10"/>
      <c r="AY10" s="11"/>
      <c r="BA10" s="9"/>
      <c r="BB10" s="10"/>
      <c r="BC10" s="11"/>
      <c r="BE10" s="9"/>
      <c r="BF10" s="10"/>
      <c r="BG10" s="11"/>
      <c r="BI10" s="9"/>
      <c r="BJ10" s="10"/>
      <c r="BK10" s="11"/>
      <c r="BM10" s="9"/>
      <c r="BN10" s="10"/>
      <c r="BO10" s="11"/>
      <c r="BQ10" s="9"/>
      <c r="BR10" s="10"/>
      <c r="BS10" s="11"/>
      <c r="BU10" s="9"/>
      <c r="BV10" s="10"/>
      <c r="BW10" s="11"/>
      <c r="BY10" s="9"/>
      <c r="BZ10" s="10"/>
      <c r="CA10" s="11"/>
      <c r="CC10" s="9"/>
      <c r="CD10" s="10"/>
      <c r="CE10" s="11"/>
      <c r="CG10" s="9"/>
      <c r="CH10" s="10"/>
      <c r="CI10" s="11"/>
      <c r="CK10" s="9"/>
      <c r="CL10" s="10"/>
      <c r="CM10" s="11"/>
      <c r="CO10" s="9"/>
      <c r="CP10" s="10"/>
      <c r="CQ10" s="11"/>
      <c r="CS10" s="9"/>
      <c r="CT10" s="10"/>
      <c r="CU10" s="11"/>
      <c r="CW10" s="9"/>
      <c r="CX10" s="10"/>
      <c r="CY10" s="11"/>
      <c r="DA10" s="9"/>
      <c r="DB10" s="10"/>
      <c r="DC10" s="11"/>
      <c r="DE10" s="9"/>
      <c r="DF10" s="10"/>
      <c r="DG10" s="11"/>
      <c r="DI10" s="9"/>
      <c r="DJ10" s="10"/>
      <c r="DK10" s="11"/>
      <c r="DM10" s="9"/>
      <c r="DN10" s="10"/>
      <c r="DO10" s="11"/>
      <c r="DQ10" s="9"/>
      <c r="DR10" s="10"/>
      <c r="DS10" s="11"/>
      <c r="DU10" s="9"/>
      <c r="DV10" s="10"/>
      <c r="DW10" s="11"/>
      <c r="DY10" s="9"/>
      <c r="DZ10" s="10"/>
      <c r="EA10" s="11"/>
      <c r="EC10" s="9"/>
      <c r="ED10" s="10"/>
      <c r="EE10" s="11"/>
      <c r="EG10" s="9"/>
      <c r="EH10" s="10"/>
      <c r="EI10" s="11"/>
      <c r="EK10" s="9"/>
      <c r="EL10" s="10"/>
      <c r="EM10" s="11"/>
      <c r="EO10" s="9"/>
      <c r="EP10" s="10"/>
      <c r="EQ10" s="11"/>
      <c r="ES10" s="9"/>
      <c r="ET10" s="10"/>
      <c r="EU10" s="11"/>
      <c r="EW10" s="9"/>
      <c r="EX10" s="10"/>
      <c r="EY10" s="11"/>
      <c r="FA10" s="9"/>
      <c r="FB10" s="10"/>
      <c r="FC10" s="11"/>
      <c r="FE10" s="9"/>
      <c r="FF10" s="10"/>
      <c r="FG10" s="11"/>
      <c r="FI10" s="9"/>
      <c r="FJ10" s="10"/>
      <c r="FK10" s="11"/>
      <c r="FM10" s="9"/>
      <c r="FN10" s="10"/>
      <c r="FO10" s="11"/>
      <c r="FQ10" s="9"/>
      <c r="FR10" s="10"/>
      <c r="FS10" s="11"/>
      <c r="FU10" s="9"/>
      <c r="FV10" s="10"/>
      <c r="FW10" s="11"/>
      <c r="FY10" s="9"/>
      <c r="FZ10" s="10"/>
      <c r="GA10" s="11"/>
      <c r="GC10" s="9"/>
      <c r="GD10" s="10"/>
      <c r="GE10" s="11"/>
      <c r="GG10" s="9"/>
      <c r="GH10" s="10"/>
      <c r="GI10" s="11"/>
      <c r="GK10" s="9"/>
      <c r="GL10" s="10"/>
      <c r="GM10" s="11"/>
      <c r="GO10" s="9"/>
      <c r="GP10" s="10"/>
      <c r="GQ10" s="11"/>
      <c r="GS10" s="9"/>
      <c r="GT10" s="10"/>
      <c r="GU10" s="11"/>
    </row>
    <row r="11" spans="1:203">
      <c r="A11" s="72">
        <v>44607</v>
      </c>
      <c r="B11" s="10">
        <v>110</v>
      </c>
      <c r="C11" s="11"/>
      <c r="E11" s="9"/>
      <c r="F11" s="10"/>
      <c r="G11" s="11"/>
      <c r="I11" s="9"/>
      <c r="J11" s="10"/>
      <c r="K11" s="11"/>
      <c r="M11" s="9"/>
      <c r="N11" s="10"/>
      <c r="O11" s="11"/>
      <c r="P11" s="12"/>
      <c r="Q11" s="9"/>
      <c r="R11" s="10"/>
      <c r="S11" s="11"/>
      <c r="U11" s="9"/>
      <c r="V11" s="10"/>
      <c r="W11" s="11"/>
      <c r="Y11" s="9"/>
      <c r="Z11" s="10"/>
      <c r="AA11" s="11"/>
      <c r="AC11" s="9"/>
      <c r="AD11" s="10"/>
      <c r="AE11" s="11"/>
      <c r="AG11" s="9"/>
      <c r="AH11" s="10"/>
      <c r="AI11" s="11"/>
      <c r="AK11" s="9"/>
      <c r="AL11" s="10"/>
      <c r="AM11" s="11"/>
      <c r="AO11" s="9"/>
      <c r="AP11" s="10"/>
      <c r="AQ11" s="11"/>
      <c r="AS11" s="9"/>
      <c r="AT11" s="10"/>
      <c r="AU11" s="11"/>
      <c r="AW11" s="9"/>
      <c r="AX11" s="10"/>
      <c r="AY11" s="11"/>
      <c r="BA11" s="9"/>
      <c r="BB11" s="10"/>
      <c r="BC11" s="11"/>
      <c r="BE11" s="9"/>
      <c r="BF11" s="10"/>
      <c r="BG11" s="11"/>
      <c r="BI11" s="9"/>
      <c r="BJ11" s="10"/>
      <c r="BK11" s="11"/>
      <c r="BM11" s="9"/>
      <c r="BN11" s="10"/>
      <c r="BO11" s="11"/>
      <c r="BQ11" s="9"/>
      <c r="BR11" s="10"/>
      <c r="BS11" s="11"/>
      <c r="BU11" s="9"/>
      <c r="BV11" s="10"/>
      <c r="BW11" s="11"/>
      <c r="BY11" s="9"/>
      <c r="BZ11" s="10"/>
      <c r="CA11" s="11"/>
      <c r="CC11" s="9"/>
      <c r="CD11" s="10"/>
      <c r="CE11" s="11"/>
      <c r="CG11" s="9"/>
      <c r="CH11" s="10"/>
      <c r="CI11" s="11"/>
      <c r="CK11" s="9"/>
      <c r="CL11" s="10"/>
      <c r="CM11" s="11"/>
      <c r="CO11" s="9"/>
      <c r="CP11" s="10"/>
      <c r="CQ11" s="11"/>
      <c r="CS11" s="9"/>
      <c r="CT11" s="10"/>
      <c r="CU11" s="11"/>
      <c r="CW11" s="9"/>
      <c r="CX11" s="10"/>
      <c r="CY11" s="11"/>
      <c r="DA11" s="9"/>
      <c r="DB11" s="10"/>
      <c r="DC11" s="11"/>
      <c r="DE11" s="9"/>
      <c r="DF11" s="10"/>
      <c r="DG11" s="11"/>
      <c r="DI11" s="9"/>
      <c r="DJ11" s="10"/>
      <c r="DK11" s="11"/>
      <c r="DM11" s="9"/>
      <c r="DN11" s="10"/>
      <c r="DO11" s="11"/>
      <c r="DQ11" s="9"/>
      <c r="DR11" s="10"/>
      <c r="DS11" s="11"/>
      <c r="DU11" s="9"/>
      <c r="DV11" s="10"/>
      <c r="DW11" s="11"/>
      <c r="DY11" s="9"/>
      <c r="DZ11" s="10"/>
      <c r="EA11" s="11"/>
      <c r="EC11" s="9"/>
      <c r="ED11" s="10"/>
      <c r="EE11" s="11"/>
      <c r="EG11" s="9"/>
      <c r="EH11" s="10"/>
      <c r="EI11" s="11"/>
      <c r="EK11" s="9"/>
      <c r="EL11" s="10"/>
      <c r="EM11" s="11"/>
      <c r="EO11" s="9"/>
      <c r="EP11" s="10"/>
      <c r="EQ11" s="11"/>
      <c r="ES11" s="9"/>
      <c r="ET11" s="10"/>
      <c r="EU11" s="11"/>
      <c r="EW11" s="9"/>
      <c r="EX11" s="10"/>
      <c r="EY11" s="11"/>
      <c r="FA11" s="9"/>
      <c r="FB11" s="10"/>
      <c r="FC11" s="11"/>
      <c r="FE11" s="9"/>
      <c r="FF11" s="10"/>
      <c r="FG11" s="11"/>
      <c r="FI11" s="9"/>
      <c r="FJ11" s="10"/>
      <c r="FK11" s="11"/>
      <c r="FM11" s="9"/>
      <c r="FN11" s="10"/>
      <c r="FO11" s="11"/>
      <c r="FQ11" s="9"/>
      <c r="FR11" s="10"/>
      <c r="FS11" s="11"/>
      <c r="FU11" s="9"/>
      <c r="FV11" s="10"/>
      <c r="FW11" s="11"/>
      <c r="FY11" s="9"/>
      <c r="FZ11" s="10"/>
      <c r="GA11" s="11"/>
      <c r="GC11" s="9"/>
      <c r="GD11" s="10"/>
      <c r="GE11" s="11"/>
      <c r="GG11" s="9"/>
      <c r="GH11" s="10"/>
      <c r="GI11" s="11"/>
      <c r="GK11" s="9"/>
      <c r="GL11" s="10"/>
      <c r="GM11" s="11"/>
      <c r="GO11" s="9"/>
      <c r="GP11" s="10"/>
      <c r="GQ11" s="11"/>
      <c r="GS11" s="9"/>
      <c r="GT11" s="10"/>
      <c r="GU11" s="11"/>
    </row>
    <row r="12" spans="1:203">
      <c r="A12" s="72">
        <v>44614</v>
      </c>
      <c r="B12" s="10">
        <v>7175</v>
      </c>
      <c r="C12" s="11"/>
      <c r="E12" s="9"/>
      <c r="F12" s="10"/>
      <c r="G12" s="11"/>
      <c r="I12" s="9"/>
      <c r="J12" s="10"/>
      <c r="K12" s="11"/>
      <c r="M12" s="9"/>
      <c r="N12" s="10"/>
      <c r="O12" s="11"/>
      <c r="P12" s="12"/>
      <c r="Q12" s="9"/>
      <c r="R12" s="10"/>
      <c r="S12" s="11"/>
      <c r="U12" s="9"/>
      <c r="V12" s="10"/>
      <c r="W12" s="11"/>
      <c r="Y12" s="9"/>
      <c r="Z12" s="10"/>
      <c r="AA12" s="11"/>
      <c r="AC12" s="9"/>
      <c r="AD12" s="10"/>
      <c r="AE12" s="11"/>
      <c r="AG12" s="9"/>
      <c r="AH12" s="10"/>
      <c r="AI12" s="11"/>
      <c r="AK12" s="9"/>
      <c r="AL12" s="10"/>
      <c r="AM12" s="11"/>
      <c r="AO12" s="9"/>
      <c r="AP12" s="10"/>
      <c r="AQ12" s="11"/>
      <c r="AS12" s="9"/>
      <c r="AT12" s="10"/>
      <c r="AU12" s="11"/>
      <c r="AW12" s="9"/>
      <c r="AX12" s="10"/>
      <c r="AY12" s="11"/>
      <c r="BA12" s="9"/>
      <c r="BB12" s="10"/>
      <c r="BC12" s="11"/>
      <c r="BE12" s="9"/>
      <c r="BF12" s="10"/>
      <c r="BG12" s="11"/>
      <c r="BI12" s="9"/>
      <c r="BJ12" s="10"/>
      <c r="BK12" s="11"/>
      <c r="BM12" s="9"/>
      <c r="BN12" s="10"/>
      <c r="BO12" s="11"/>
      <c r="BQ12" s="9"/>
      <c r="BR12" s="10"/>
      <c r="BS12" s="11"/>
      <c r="BU12" s="9"/>
      <c r="BV12" s="10"/>
      <c r="BW12" s="11"/>
      <c r="BY12" s="9"/>
      <c r="BZ12" s="10"/>
      <c r="CA12" s="11"/>
      <c r="CC12" s="9"/>
      <c r="CD12" s="10"/>
      <c r="CE12" s="11"/>
      <c r="CG12" s="9"/>
      <c r="CH12" s="10"/>
      <c r="CI12" s="11"/>
      <c r="CK12" s="9"/>
      <c r="CL12" s="10"/>
      <c r="CM12" s="11"/>
      <c r="CO12" s="9"/>
      <c r="CP12" s="10"/>
      <c r="CQ12" s="11"/>
      <c r="CS12" s="9"/>
      <c r="CT12" s="10"/>
      <c r="CU12" s="11"/>
      <c r="CW12" s="9"/>
      <c r="CX12" s="10"/>
      <c r="CY12" s="11"/>
      <c r="DA12" s="9"/>
      <c r="DB12" s="10"/>
      <c r="DC12" s="11"/>
      <c r="DE12" s="9"/>
      <c r="DF12" s="10"/>
      <c r="DG12" s="11"/>
      <c r="DI12" s="9"/>
      <c r="DJ12" s="10"/>
      <c r="DK12" s="11"/>
      <c r="DM12" s="9"/>
      <c r="DN12" s="10"/>
      <c r="DO12" s="11"/>
      <c r="DQ12" s="9"/>
      <c r="DR12" s="10"/>
      <c r="DS12" s="11"/>
      <c r="DU12" s="9"/>
      <c r="DV12" s="10"/>
      <c r="DW12" s="11"/>
      <c r="DY12" s="9"/>
      <c r="DZ12" s="10"/>
      <c r="EA12" s="11"/>
      <c r="EC12" s="9"/>
      <c r="ED12" s="10"/>
      <c r="EE12" s="11"/>
      <c r="EG12" s="9"/>
      <c r="EH12" s="10"/>
      <c r="EI12" s="11"/>
      <c r="EK12" s="9"/>
      <c r="EL12" s="10"/>
      <c r="EM12" s="11"/>
      <c r="EO12" s="9"/>
      <c r="EP12" s="10"/>
      <c r="EQ12" s="11"/>
      <c r="ES12" s="9"/>
      <c r="ET12" s="10"/>
      <c r="EU12" s="11"/>
      <c r="EW12" s="9"/>
      <c r="EX12" s="10"/>
      <c r="EY12" s="11"/>
      <c r="FA12" s="9"/>
      <c r="FB12" s="10"/>
      <c r="FC12" s="11"/>
      <c r="FE12" s="9"/>
      <c r="FF12" s="10"/>
      <c r="FG12" s="11"/>
      <c r="FI12" s="9"/>
      <c r="FJ12" s="10"/>
      <c r="FK12" s="11"/>
      <c r="FM12" s="9"/>
      <c r="FN12" s="10"/>
      <c r="FO12" s="11"/>
      <c r="FQ12" s="9"/>
      <c r="FR12" s="10"/>
      <c r="FS12" s="11"/>
      <c r="FU12" s="9"/>
      <c r="FV12" s="10"/>
      <c r="FW12" s="11"/>
      <c r="FY12" s="9"/>
      <c r="FZ12" s="10"/>
      <c r="GA12" s="11"/>
      <c r="GC12" s="9"/>
      <c r="GD12" s="10"/>
      <c r="GE12" s="11"/>
      <c r="GG12" s="9"/>
      <c r="GH12" s="10"/>
      <c r="GI12" s="11"/>
      <c r="GK12" s="9"/>
      <c r="GL12" s="10"/>
      <c r="GM12" s="11"/>
      <c r="GO12" s="9"/>
      <c r="GP12" s="10"/>
      <c r="GQ12" s="11"/>
      <c r="GS12" s="9"/>
      <c r="GT12" s="10"/>
      <c r="GU12" s="11"/>
    </row>
    <row r="13" spans="1:203">
      <c r="A13" s="72">
        <v>44614</v>
      </c>
      <c r="B13" s="10">
        <v>275</v>
      </c>
      <c r="C13" s="11"/>
      <c r="E13" s="9"/>
      <c r="F13" s="10"/>
      <c r="G13" s="11"/>
      <c r="I13" s="9"/>
      <c r="J13" s="10"/>
      <c r="K13" s="11"/>
      <c r="M13" s="9"/>
      <c r="N13" s="10"/>
      <c r="O13" s="11"/>
      <c r="P13" s="12"/>
      <c r="Q13" s="9"/>
      <c r="R13" s="10"/>
      <c r="S13" s="11"/>
      <c r="U13" s="9"/>
      <c r="V13" s="10"/>
      <c r="W13" s="11"/>
      <c r="Y13" s="9"/>
      <c r="Z13" s="10"/>
      <c r="AA13" s="11"/>
      <c r="AC13" s="9"/>
      <c r="AD13" s="10"/>
      <c r="AE13" s="11"/>
      <c r="AG13" s="9"/>
      <c r="AH13" s="10"/>
      <c r="AI13" s="11"/>
      <c r="AK13" s="9"/>
      <c r="AL13" s="10"/>
      <c r="AM13" s="11"/>
      <c r="AO13" s="9"/>
      <c r="AP13" s="10"/>
      <c r="AQ13" s="11"/>
      <c r="AS13" s="9"/>
      <c r="AT13" s="10"/>
      <c r="AU13" s="11"/>
      <c r="AW13" s="9"/>
      <c r="AX13" s="10"/>
      <c r="AY13" s="11"/>
      <c r="BA13" s="9"/>
      <c r="BB13" s="10"/>
      <c r="BC13" s="11"/>
      <c r="BE13" s="9"/>
      <c r="BF13" s="10"/>
      <c r="BG13" s="11"/>
      <c r="BI13" s="9"/>
      <c r="BJ13" s="10"/>
      <c r="BK13" s="11"/>
      <c r="BM13" s="9"/>
      <c r="BN13" s="10"/>
      <c r="BO13" s="11"/>
      <c r="BQ13" s="9"/>
      <c r="BR13" s="10"/>
      <c r="BS13" s="11"/>
      <c r="BU13" s="9"/>
      <c r="BV13" s="10"/>
      <c r="BW13" s="11"/>
      <c r="BY13" s="9"/>
      <c r="BZ13" s="10"/>
      <c r="CA13" s="11"/>
      <c r="CC13" s="9"/>
      <c r="CD13" s="10"/>
      <c r="CE13" s="11"/>
      <c r="CG13" s="9"/>
      <c r="CH13" s="10"/>
      <c r="CI13" s="11"/>
      <c r="CK13" s="9"/>
      <c r="CL13" s="10"/>
      <c r="CM13" s="11"/>
      <c r="CO13" s="9"/>
      <c r="CP13" s="10"/>
      <c r="CQ13" s="11"/>
      <c r="CS13" s="9"/>
      <c r="CT13" s="10"/>
      <c r="CU13" s="11"/>
      <c r="CW13" s="9"/>
      <c r="CX13" s="10"/>
      <c r="CY13" s="11"/>
      <c r="DA13" s="9"/>
      <c r="DB13" s="10"/>
      <c r="DC13" s="11"/>
      <c r="DE13" s="9"/>
      <c r="DF13" s="10"/>
      <c r="DG13" s="11"/>
      <c r="DI13" s="9"/>
      <c r="DJ13" s="10"/>
      <c r="DK13" s="11"/>
      <c r="DM13" s="9"/>
      <c r="DN13" s="10"/>
      <c r="DO13" s="11"/>
      <c r="DQ13" s="9"/>
      <c r="DR13" s="10"/>
      <c r="DS13" s="11"/>
      <c r="DU13" s="9"/>
      <c r="DV13" s="10"/>
      <c r="DW13" s="11"/>
      <c r="DY13" s="9"/>
      <c r="DZ13" s="10"/>
      <c r="EA13" s="11"/>
      <c r="EC13" s="9"/>
      <c r="ED13" s="10"/>
      <c r="EE13" s="11"/>
      <c r="EG13" s="9"/>
      <c r="EH13" s="10"/>
      <c r="EI13" s="11"/>
      <c r="EK13" s="9"/>
      <c r="EL13" s="10"/>
      <c r="EM13" s="11"/>
      <c r="EO13" s="9"/>
      <c r="EP13" s="10"/>
      <c r="EQ13" s="11"/>
      <c r="ES13" s="9"/>
      <c r="ET13" s="10"/>
      <c r="EU13" s="11"/>
      <c r="EW13" s="9"/>
      <c r="EX13" s="10"/>
      <c r="EY13" s="11"/>
      <c r="FA13" s="9"/>
      <c r="FB13" s="10"/>
      <c r="FC13" s="11"/>
      <c r="FE13" s="9"/>
      <c r="FF13" s="10"/>
      <c r="FG13" s="11"/>
      <c r="FI13" s="9"/>
      <c r="FJ13" s="10"/>
      <c r="FK13" s="11"/>
      <c r="FM13" s="9"/>
      <c r="FN13" s="10"/>
      <c r="FO13" s="11"/>
      <c r="FQ13" s="9"/>
      <c r="FR13" s="10"/>
      <c r="FS13" s="11"/>
      <c r="FU13" s="9"/>
      <c r="FV13" s="10"/>
      <c r="FW13" s="11"/>
      <c r="FY13" s="9"/>
      <c r="FZ13" s="10"/>
      <c r="GA13" s="11"/>
      <c r="GC13" s="9"/>
      <c r="GD13" s="10"/>
      <c r="GE13" s="11"/>
      <c r="GG13" s="9"/>
      <c r="GH13" s="10"/>
      <c r="GI13" s="11"/>
      <c r="GK13" s="9"/>
      <c r="GL13" s="10"/>
      <c r="GM13" s="11"/>
      <c r="GO13" s="9"/>
      <c r="GP13" s="10"/>
      <c r="GQ13" s="11"/>
      <c r="GS13" s="9"/>
      <c r="GT13" s="10"/>
      <c r="GU13" s="11"/>
    </row>
    <row r="14" spans="1:203">
      <c r="A14" s="72">
        <v>44614</v>
      </c>
      <c r="B14" s="10">
        <v>150</v>
      </c>
      <c r="C14" s="11"/>
      <c r="E14" s="9"/>
      <c r="F14" s="10"/>
      <c r="G14" s="11"/>
      <c r="I14" s="9"/>
      <c r="J14" s="10"/>
      <c r="K14" s="11"/>
      <c r="M14" s="9"/>
      <c r="N14" s="10"/>
      <c r="O14" s="11"/>
      <c r="P14" s="12"/>
      <c r="Q14" s="9"/>
      <c r="R14" s="10"/>
      <c r="S14" s="11"/>
      <c r="U14" s="9"/>
      <c r="V14" s="10"/>
      <c r="W14" s="11"/>
      <c r="Y14" s="9"/>
      <c r="Z14" s="10"/>
      <c r="AA14" s="11"/>
      <c r="AC14" s="9"/>
      <c r="AD14" s="10"/>
      <c r="AE14" s="11"/>
      <c r="AG14" s="9"/>
      <c r="AH14" s="10"/>
      <c r="AI14" s="11"/>
      <c r="AK14" s="9"/>
      <c r="AL14" s="10"/>
      <c r="AM14" s="11"/>
      <c r="AO14" s="9"/>
      <c r="AP14" s="10"/>
      <c r="AQ14" s="11"/>
      <c r="AS14" s="9"/>
      <c r="AT14" s="10"/>
      <c r="AU14" s="11"/>
      <c r="AW14" s="9"/>
      <c r="AX14" s="10"/>
      <c r="AY14" s="11"/>
      <c r="BA14" s="9"/>
      <c r="BB14" s="10"/>
      <c r="BC14" s="11"/>
      <c r="BE14" s="9"/>
      <c r="BF14" s="10"/>
      <c r="BG14" s="11"/>
      <c r="BI14" s="9"/>
      <c r="BJ14" s="10"/>
      <c r="BK14" s="11"/>
      <c r="BM14" s="9"/>
      <c r="BN14" s="10"/>
      <c r="BO14" s="11"/>
      <c r="BQ14" s="9"/>
      <c r="BR14" s="10"/>
      <c r="BS14" s="11"/>
      <c r="BU14" s="9"/>
      <c r="BV14" s="10"/>
      <c r="BW14" s="11"/>
      <c r="BY14" s="9"/>
      <c r="BZ14" s="10"/>
      <c r="CA14" s="11"/>
      <c r="CC14" s="9"/>
      <c r="CD14" s="10"/>
      <c r="CE14" s="11"/>
      <c r="CG14" s="9"/>
      <c r="CH14" s="10"/>
      <c r="CI14" s="11"/>
      <c r="CK14" s="9"/>
      <c r="CL14" s="10"/>
      <c r="CM14" s="11"/>
      <c r="CO14" s="9"/>
      <c r="CP14" s="10"/>
      <c r="CQ14" s="11"/>
      <c r="CS14" s="9"/>
      <c r="CT14" s="10"/>
      <c r="CU14" s="11"/>
      <c r="CW14" s="9"/>
      <c r="CX14" s="10"/>
      <c r="CY14" s="11"/>
      <c r="DA14" s="9"/>
      <c r="DB14" s="10"/>
      <c r="DC14" s="11"/>
      <c r="DE14" s="9"/>
      <c r="DF14" s="10"/>
      <c r="DG14" s="11"/>
      <c r="DI14" s="9"/>
      <c r="DJ14" s="10"/>
      <c r="DK14" s="11"/>
      <c r="DM14" s="9"/>
      <c r="DN14" s="10"/>
      <c r="DO14" s="11"/>
      <c r="DQ14" s="9"/>
      <c r="DR14" s="10"/>
      <c r="DS14" s="11"/>
      <c r="DU14" s="9"/>
      <c r="DV14" s="10"/>
      <c r="DW14" s="11"/>
      <c r="DY14" s="9"/>
      <c r="DZ14" s="10"/>
      <c r="EA14" s="11"/>
      <c r="EC14" s="9"/>
      <c r="ED14" s="10"/>
      <c r="EE14" s="11"/>
      <c r="EG14" s="9"/>
      <c r="EH14" s="10"/>
      <c r="EI14" s="11"/>
      <c r="EK14" s="9"/>
      <c r="EL14" s="10"/>
      <c r="EM14" s="11"/>
      <c r="EO14" s="9"/>
      <c r="EP14" s="10"/>
      <c r="EQ14" s="11"/>
      <c r="ES14" s="9"/>
      <c r="ET14" s="10"/>
      <c r="EU14" s="11"/>
      <c r="EW14" s="9"/>
      <c r="EX14" s="10"/>
      <c r="EY14" s="11"/>
      <c r="FA14" s="9"/>
      <c r="FB14" s="10"/>
      <c r="FC14" s="11"/>
      <c r="FE14" s="9"/>
      <c r="FF14" s="10"/>
      <c r="FG14" s="11"/>
      <c r="FI14" s="9"/>
      <c r="FJ14" s="10"/>
      <c r="FK14" s="11"/>
      <c r="FM14" s="9"/>
      <c r="FN14" s="10"/>
      <c r="FO14" s="11"/>
      <c r="FQ14" s="9"/>
      <c r="FR14" s="10"/>
      <c r="FS14" s="11"/>
      <c r="FU14" s="9"/>
      <c r="FV14" s="10"/>
      <c r="FW14" s="11"/>
      <c r="FY14" s="9"/>
      <c r="FZ14" s="10"/>
      <c r="GA14" s="11"/>
      <c r="GC14" s="9"/>
      <c r="GD14" s="10"/>
      <c r="GE14" s="11"/>
      <c r="GG14" s="9"/>
      <c r="GH14" s="10"/>
      <c r="GI14" s="11"/>
      <c r="GK14" s="9"/>
      <c r="GL14" s="10"/>
      <c r="GM14" s="11"/>
      <c r="GO14" s="9"/>
      <c r="GP14" s="10"/>
      <c r="GQ14" s="11"/>
      <c r="GS14" s="9"/>
      <c r="GT14" s="10"/>
      <c r="GU14" s="11"/>
    </row>
    <row r="15" spans="1:203">
      <c r="A15" s="72">
        <v>44620</v>
      </c>
      <c r="B15" s="10">
        <v>7175</v>
      </c>
      <c r="C15" s="11"/>
      <c r="E15" s="9"/>
      <c r="F15" s="10"/>
      <c r="G15" s="11"/>
      <c r="I15" s="9"/>
      <c r="J15" s="10"/>
      <c r="K15" s="11"/>
      <c r="M15" s="9"/>
      <c r="N15" s="10"/>
      <c r="O15" s="11"/>
      <c r="P15" s="12"/>
      <c r="Q15" s="9"/>
      <c r="R15" s="10"/>
      <c r="S15" s="11"/>
      <c r="U15" s="9"/>
      <c r="V15" s="10"/>
      <c r="W15" s="11"/>
      <c r="Y15" s="9"/>
      <c r="Z15" s="10"/>
      <c r="AA15" s="11"/>
      <c r="AC15" s="9"/>
      <c r="AD15" s="10"/>
      <c r="AE15" s="11"/>
      <c r="AG15" s="9"/>
      <c r="AH15" s="10"/>
      <c r="AI15" s="11"/>
      <c r="AK15" s="9"/>
      <c r="AL15" s="10"/>
      <c r="AM15" s="11"/>
      <c r="AO15" s="9"/>
      <c r="AP15" s="10"/>
      <c r="AQ15" s="11"/>
      <c r="AS15" s="9"/>
      <c r="AT15" s="10"/>
      <c r="AU15" s="11"/>
      <c r="AW15" s="9"/>
      <c r="AX15" s="10"/>
      <c r="AY15" s="11"/>
      <c r="BA15" s="9"/>
      <c r="BB15" s="10"/>
      <c r="BC15" s="11"/>
      <c r="BE15" s="9"/>
      <c r="BF15" s="10"/>
      <c r="BG15" s="11"/>
      <c r="BI15" s="9"/>
      <c r="BJ15" s="10"/>
      <c r="BK15" s="11"/>
      <c r="BM15" s="9"/>
      <c r="BN15" s="10"/>
      <c r="BO15" s="11"/>
      <c r="BQ15" s="9"/>
      <c r="BR15" s="10"/>
      <c r="BS15" s="11"/>
      <c r="BU15" s="9"/>
      <c r="BV15" s="10"/>
      <c r="BW15" s="11"/>
      <c r="BY15" s="9"/>
      <c r="BZ15" s="10"/>
      <c r="CA15" s="11"/>
      <c r="CC15" s="9"/>
      <c r="CD15" s="10"/>
      <c r="CE15" s="11"/>
      <c r="CG15" s="9"/>
      <c r="CH15" s="10"/>
      <c r="CI15" s="11"/>
      <c r="CK15" s="9"/>
      <c r="CL15" s="10"/>
      <c r="CM15" s="11"/>
      <c r="CO15" s="9"/>
      <c r="CP15" s="10"/>
      <c r="CQ15" s="11"/>
      <c r="CS15" s="9"/>
      <c r="CT15" s="10"/>
      <c r="CU15" s="11"/>
      <c r="CW15" s="9"/>
      <c r="CX15" s="10"/>
      <c r="CY15" s="11"/>
      <c r="DA15" s="9"/>
      <c r="DB15" s="10"/>
      <c r="DC15" s="11"/>
      <c r="DE15" s="9"/>
      <c r="DF15" s="10"/>
      <c r="DG15" s="11"/>
      <c r="DI15" s="9"/>
      <c r="DJ15" s="10"/>
      <c r="DK15" s="11"/>
      <c r="DM15" s="9"/>
      <c r="DN15" s="10"/>
      <c r="DO15" s="11"/>
      <c r="DQ15" s="9"/>
      <c r="DR15" s="10"/>
      <c r="DS15" s="11"/>
      <c r="DU15" s="9"/>
      <c r="DV15" s="10"/>
      <c r="DW15" s="11"/>
      <c r="DY15" s="9"/>
      <c r="DZ15" s="10"/>
      <c r="EA15" s="11"/>
      <c r="EC15" s="9"/>
      <c r="ED15" s="10"/>
      <c r="EE15" s="11"/>
      <c r="EG15" s="9"/>
      <c r="EH15" s="10"/>
      <c r="EI15" s="11"/>
      <c r="EK15" s="9"/>
      <c r="EL15" s="10"/>
      <c r="EM15" s="11"/>
      <c r="EO15" s="9"/>
      <c r="EP15" s="10"/>
      <c r="EQ15" s="11"/>
      <c r="ES15" s="9"/>
      <c r="ET15" s="10"/>
      <c r="EU15" s="11"/>
      <c r="EW15" s="9"/>
      <c r="EX15" s="10"/>
      <c r="EY15" s="11"/>
      <c r="FA15" s="9"/>
      <c r="FB15" s="10"/>
      <c r="FC15" s="11"/>
      <c r="FE15" s="9"/>
      <c r="FF15" s="10"/>
      <c r="FG15" s="11"/>
      <c r="FI15" s="9"/>
      <c r="FJ15" s="10"/>
      <c r="FK15" s="11"/>
      <c r="FM15" s="9"/>
      <c r="FN15" s="10"/>
      <c r="FO15" s="11"/>
      <c r="FQ15" s="9"/>
      <c r="FR15" s="10"/>
      <c r="FS15" s="11"/>
      <c r="FU15" s="9"/>
      <c r="FV15" s="10"/>
      <c r="FW15" s="11"/>
      <c r="FY15" s="9"/>
      <c r="FZ15" s="10"/>
      <c r="GA15" s="11"/>
      <c r="GC15" s="9"/>
      <c r="GD15" s="10"/>
      <c r="GE15" s="11"/>
      <c r="GG15" s="9"/>
      <c r="GH15" s="10"/>
      <c r="GI15" s="11"/>
      <c r="GK15" s="9"/>
      <c r="GL15" s="10"/>
      <c r="GM15" s="11"/>
      <c r="GO15" s="9"/>
      <c r="GP15" s="10"/>
      <c r="GQ15" s="11"/>
      <c r="GS15" s="9"/>
      <c r="GT15" s="10"/>
      <c r="GU15" s="11"/>
    </row>
    <row r="16" spans="1:203">
      <c r="A16" s="72">
        <v>44620</v>
      </c>
      <c r="B16" s="10">
        <v>275</v>
      </c>
      <c r="C16" s="11"/>
      <c r="E16" s="9"/>
      <c r="F16" s="10"/>
      <c r="G16" s="11"/>
      <c r="I16" s="9"/>
      <c r="J16" s="10"/>
      <c r="K16" s="11"/>
      <c r="M16" s="9"/>
      <c r="N16" s="10"/>
      <c r="O16" s="11"/>
      <c r="P16" s="12"/>
      <c r="Q16" s="9"/>
      <c r="R16" s="10"/>
      <c r="S16" s="11"/>
      <c r="U16" s="9"/>
      <c r="V16" s="10"/>
      <c r="W16" s="11"/>
      <c r="Y16" s="9"/>
      <c r="Z16" s="10"/>
      <c r="AA16" s="11"/>
      <c r="AC16" s="9"/>
      <c r="AD16" s="10"/>
      <c r="AE16" s="11"/>
      <c r="AG16" s="9"/>
      <c r="AH16" s="10"/>
      <c r="AI16" s="11"/>
      <c r="AK16" s="9"/>
      <c r="AL16" s="10"/>
      <c r="AM16" s="11"/>
      <c r="AO16" s="9"/>
      <c r="AP16" s="10"/>
      <c r="AQ16" s="11"/>
      <c r="AS16" s="9"/>
      <c r="AT16" s="10"/>
      <c r="AU16" s="11"/>
      <c r="AW16" s="9"/>
      <c r="AX16" s="10"/>
      <c r="AY16" s="11"/>
      <c r="BA16" s="9"/>
      <c r="BB16" s="10"/>
      <c r="BC16" s="11"/>
      <c r="BE16" s="9"/>
      <c r="BF16" s="10"/>
      <c r="BG16" s="11"/>
      <c r="BI16" s="9"/>
      <c r="BJ16" s="10"/>
      <c r="BK16" s="11"/>
      <c r="BM16" s="9"/>
      <c r="BN16" s="10"/>
      <c r="BO16" s="11"/>
      <c r="BQ16" s="9"/>
      <c r="BR16" s="10"/>
      <c r="BS16" s="11"/>
      <c r="BU16" s="9"/>
      <c r="BV16" s="10"/>
      <c r="BW16" s="11"/>
      <c r="BY16" s="9"/>
      <c r="BZ16" s="10"/>
      <c r="CA16" s="11"/>
      <c r="CC16" s="9"/>
      <c r="CD16" s="10"/>
      <c r="CE16" s="11"/>
      <c r="CG16" s="9"/>
      <c r="CH16" s="10"/>
      <c r="CI16" s="11"/>
      <c r="CK16" s="9"/>
      <c r="CL16" s="10"/>
      <c r="CM16" s="11"/>
      <c r="CO16" s="9"/>
      <c r="CP16" s="10"/>
      <c r="CQ16" s="11"/>
      <c r="CS16" s="9"/>
      <c r="CT16" s="10"/>
      <c r="CU16" s="11"/>
      <c r="CW16" s="9"/>
      <c r="CX16" s="10"/>
      <c r="CY16" s="11"/>
      <c r="DA16" s="9"/>
      <c r="DB16" s="10"/>
      <c r="DC16" s="11"/>
      <c r="DE16" s="9"/>
      <c r="DF16" s="10"/>
      <c r="DG16" s="11"/>
      <c r="DI16" s="9"/>
      <c r="DJ16" s="10"/>
      <c r="DK16" s="11"/>
      <c r="DM16" s="9"/>
      <c r="DN16" s="10"/>
      <c r="DO16" s="11"/>
      <c r="DQ16" s="9"/>
      <c r="DR16" s="10"/>
      <c r="DS16" s="11"/>
      <c r="DU16" s="9"/>
      <c r="DV16" s="10"/>
      <c r="DW16" s="11"/>
      <c r="DY16" s="9"/>
      <c r="DZ16" s="10"/>
      <c r="EA16" s="11"/>
      <c r="EC16" s="9"/>
      <c r="ED16" s="10"/>
      <c r="EE16" s="11"/>
      <c r="EG16" s="9"/>
      <c r="EH16" s="10"/>
      <c r="EI16" s="11"/>
      <c r="EK16" s="9"/>
      <c r="EL16" s="10"/>
      <c r="EM16" s="11"/>
      <c r="EO16" s="9"/>
      <c r="EP16" s="10"/>
      <c r="EQ16" s="11"/>
      <c r="ES16" s="9"/>
      <c r="ET16" s="10"/>
      <c r="EU16" s="11"/>
      <c r="EW16" s="9"/>
      <c r="EX16" s="10"/>
      <c r="EY16" s="11"/>
      <c r="FA16" s="9"/>
      <c r="FB16" s="10"/>
      <c r="FC16" s="11"/>
      <c r="FE16" s="9"/>
      <c r="FF16" s="10"/>
      <c r="FG16" s="11"/>
      <c r="FI16" s="9"/>
      <c r="FJ16" s="10"/>
      <c r="FK16" s="11"/>
      <c r="FM16" s="9"/>
      <c r="FN16" s="10"/>
      <c r="FO16" s="11"/>
      <c r="FQ16" s="9"/>
      <c r="FR16" s="10"/>
      <c r="FS16" s="11"/>
      <c r="FU16" s="9"/>
      <c r="FV16" s="10"/>
      <c r="FW16" s="11"/>
      <c r="FY16" s="9"/>
      <c r="FZ16" s="10"/>
      <c r="GA16" s="11"/>
      <c r="GC16" s="9"/>
      <c r="GD16" s="10"/>
      <c r="GE16" s="11"/>
      <c r="GG16" s="9"/>
      <c r="GH16" s="10"/>
      <c r="GI16" s="11"/>
      <c r="GK16" s="9"/>
      <c r="GL16" s="10"/>
      <c r="GM16" s="11"/>
      <c r="GO16" s="9"/>
      <c r="GP16" s="10"/>
      <c r="GQ16" s="11"/>
      <c r="GS16" s="9"/>
      <c r="GT16" s="10"/>
      <c r="GU16" s="11"/>
    </row>
    <row r="17" spans="1:203">
      <c r="A17" s="72">
        <v>44620</v>
      </c>
      <c r="B17" s="10"/>
      <c r="C17" s="11">
        <v>5100</v>
      </c>
      <c r="E17" s="9"/>
      <c r="F17" s="10"/>
      <c r="G17" s="11"/>
      <c r="I17" s="9"/>
      <c r="J17" s="10"/>
      <c r="K17" s="11"/>
      <c r="M17" s="9"/>
      <c r="N17" s="10"/>
      <c r="O17" s="11"/>
      <c r="P17" s="12"/>
      <c r="Q17" s="9"/>
      <c r="R17" s="10"/>
      <c r="S17" s="11"/>
      <c r="U17" s="9"/>
      <c r="V17" s="10"/>
      <c r="W17" s="11"/>
      <c r="Y17" s="9"/>
      <c r="Z17" s="10"/>
      <c r="AA17" s="11"/>
      <c r="AC17" s="9"/>
      <c r="AD17" s="10"/>
      <c r="AE17" s="11"/>
      <c r="AG17" s="9"/>
      <c r="AH17" s="10"/>
      <c r="AI17" s="11"/>
      <c r="AK17" s="9"/>
      <c r="AL17" s="10"/>
      <c r="AM17" s="11"/>
      <c r="AO17" s="9"/>
      <c r="AP17" s="10"/>
      <c r="AQ17" s="11"/>
      <c r="AS17" s="9"/>
      <c r="AT17" s="10"/>
      <c r="AU17" s="11"/>
      <c r="AW17" s="9"/>
      <c r="AX17" s="10"/>
      <c r="AY17" s="11"/>
      <c r="BA17" s="9"/>
      <c r="BB17" s="10"/>
      <c r="BC17" s="11"/>
      <c r="BE17" s="9"/>
      <c r="BF17" s="10"/>
      <c r="BG17" s="11"/>
      <c r="BI17" s="9"/>
      <c r="BJ17" s="10"/>
      <c r="BK17" s="11"/>
      <c r="BM17" s="9"/>
      <c r="BN17" s="10"/>
      <c r="BO17" s="11"/>
      <c r="BQ17" s="9"/>
      <c r="BR17" s="10"/>
      <c r="BS17" s="11"/>
      <c r="BU17" s="9"/>
      <c r="BV17" s="10"/>
      <c r="BW17" s="11"/>
      <c r="BY17" s="9"/>
      <c r="BZ17" s="10"/>
      <c r="CA17" s="11"/>
      <c r="CC17" s="9"/>
      <c r="CD17" s="10"/>
      <c r="CE17" s="11"/>
      <c r="CG17" s="9"/>
      <c r="CH17" s="10"/>
      <c r="CI17" s="11"/>
      <c r="CK17" s="9"/>
      <c r="CL17" s="10"/>
      <c r="CM17" s="11"/>
      <c r="CO17" s="9"/>
      <c r="CP17" s="10"/>
      <c r="CQ17" s="11"/>
      <c r="CS17" s="9"/>
      <c r="CT17" s="10"/>
      <c r="CU17" s="11"/>
      <c r="CW17" s="9"/>
      <c r="CX17" s="10"/>
      <c r="CY17" s="11"/>
      <c r="DA17" s="9"/>
      <c r="DB17" s="10"/>
      <c r="DC17" s="11"/>
      <c r="DE17" s="9"/>
      <c r="DF17" s="10"/>
      <c r="DG17" s="11"/>
      <c r="DI17" s="9"/>
      <c r="DJ17" s="10"/>
      <c r="DK17" s="11"/>
      <c r="DM17" s="9"/>
      <c r="DN17" s="10"/>
      <c r="DO17" s="11"/>
      <c r="DQ17" s="9"/>
      <c r="DR17" s="10"/>
      <c r="DS17" s="11"/>
      <c r="DU17" s="9"/>
      <c r="DV17" s="10"/>
      <c r="DW17" s="11"/>
      <c r="DY17" s="9"/>
      <c r="DZ17" s="10"/>
      <c r="EA17" s="11"/>
      <c r="EC17" s="9"/>
      <c r="ED17" s="10"/>
      <c r="EE17" s="11"/>
      <c r="EG17" s="9"/>
      <c r="EH17" s="10"/>
      <c r="EI17" s="11"/>
      <c r="EK17" s="9"/>
      <c r="EL17" s="10"/>
      <c r="EM17" s="11"/>
      <c r="EO17" s="9"/>
      <c r="EP17" s="10"/>
      <c r="EQ17" s="11"/>
      <c r="ES17" s="9"/>
      <c r="ET17" s="10"/>
      <c r="EU17" s="11"/>
      <c r="EW17" s="9"/>
      <c r="EX17" s="10"/>
      <c r="EY17" s="11"/>
      <c r="FA17" s="9"/>
      <c r="FB17" s="10"/>
      <c r="FC17" s="11"/>
      <c r="FE17" s="9"/>
      <c r="FF17" s="10"/>
      <c r="FG17" s="11"/>
      <c r="FI17" s="9"/>
      <c r="FJ17" s="10"/>
      <c r="FK17" s="11"/>
      <c r="FM17" s="9"/>
      <c r="FN17" s="10"/>
      <c r="FO17" s="11"/>
      <c r="FQ17" s="9"/>
      <c r="FR17" s="10"/>
      <c r="FS17" s="11"/>
      <c r="FU17" s="9"/>
      <c r="FV17" s="10"/>
      <c r="FW17" s="11"/>
      <c r="FY17" s="9"/>
      <c r="FZ17" s="10"/>
      <c r="GA17" s="11"/>
      <c r="GC17" s="9"/>
      <c r="GD17" s="10"/>
      <c r="GE17" s="11"/>
      <c r="GG17" s="9"/>
      <c r="GH17" s="10"/>
      <c r="GI17" s="11"/>
      <c r="GK17" s="9"/>
      <c r="GL17" s="10"/>
      <c r="GM17" s="11"/>
      <c r="GO17" s="9"/>
      <c r="GP17" s="10"/>
      <c r="GQ17" s="11"/>
      <c r="GS17" s="9"/>
      <c r="GT17" s="10"/>
      <c r="GU17" s="11"/>
    </row>
    <row r="18" spans="1:203">
      <c r="A18" s="72">
        <v>44620</v>
      </c>
      <c r="B18" s="10"/>
      <c r="C18" s="11">
        <v>2600</v>
      </c>
      <c r="E18" s="9"/>
      <c r="F18" s="10"/>
      <c r="G18" s="11"/>
      <c r="I18" s="9"/>
      <c r="J18" s="10"/>
      <c r="K18" s="11"/>
      <c r="M18" s="9"/>
      <c r="N18" s="10"/>
      <c r="O18" s="11"/>
      <c r="P18" s="12"/>
      <c r="Q18" s="9"/>
      <c r="R18" s="10"/>
      <c r="S18" s="11"/>
      <c r="U18" s="9"/>
      <c r="V18" s="10"/>
      <c r="W18" s="11"/>
      <c r="Y18" s="9"/>
      <c r="Z18" s="10"/>
      <c r="AA18" s="11"/>
      <c r="AC18" s="9"/>
      <c r="AD18" s="10"/>
      <c r="AE18" s="11"/>
      <c r="AG18" s="9"/>
      <c r="AH18" s="10"/>
      <c r="AI18" s="11"/>
      <c r="AK18" s="9"/>
      <c r="AL18" s="10"/>
      <c r="AM18" s="11"/>
      <c r="AO18" s="9"/>
      <c r="AP18" s="10"/>
      <c r="AQ18" s="11"/>
      <c r="AS18" s="9"/>
      <c r="AT18" s="10"/>
      <c r="AU18" s="11"/>
      <c r="AW18" s="9"/>
      <c r="AX18" s="10"/>
      <c r="AY18" s="11"/>
      <c r="BA18" s="9"/>
      <c r="BB18" s="10"/>
      <c r="BC18" s="11"/>
      <c r="BE18" s="9"/>
      <c r="BF18" s="10"/>
      <c r="BG18" s="11"/>
      <c r="BI18" s="9"/>
      <c r="BJ18" s="10"/>
      <c r="BK18" s="11"/>
      <c r="BM18" s="9"/>
      <c r="BN18" s="10"/>
      <c r="BO18" s="11"/>
      <c r="BQ18" s="9"/>
      <c r="BR18" s="10"/>
      <c r="BS18" s="11"/>
      <c r="BU18" s="9"/>
      <c r="BV18" s="10"/>
      <c r="BW18" s="11"/>
      <c r="BY18" s="9"/>
      <c r="BZ18" s="10"/>
      <c r="CA18" s="11"/>
      <c r="CC18" s="9"/>
      <c r="CD18" s="10"/>
      <c r="CE18" s="11"/>
      <c r="CG18" s="9"/>
      <c r="CH18" s="10"/>
      <c r="CI18" s="11"/>
      <c r="CK18" s="9"/>
      <c r="CL18" s="10"/>
      <c r="CM18" s="11"/>
      <c r="CO18" s="9"/>
      <c r="CP18" s="10"/>
      <c r="CQ18" s="11"/>
      <c r="CS18" s="9"/>
      <c r="CT18" s="10"/>
      <c r="CU18" s="11"/>
      <c r="CW18" s="9"/>
      <c r="CX18" s="10"/>
      <c r="CY18" s="11"/>
      <c r="DA18" s="9"/>
      <c r="DB18" s="10"/>
      <c r="DC18" s="11"/>
      <c r="DE18" s="9"/>
      <c r="DF18" s="10"/>
      <c r="DG18" s="11"/>
      <c r="DI18" s="9"/>
      <c r="DJ18" s="10"/>
      <c r="DK18" s="11"/>
      <c r="DM18" s="9"/>
      <c r="DN18" s="10"/>
      <c r="DO18" s="11"/>
      <c r="DQ18" s="9"/>
      <c r="DR18" s="10"/>
      <c r="DS18" s="11"/>
      <c r="DU18" s="9"/>
      <c r="DV18" s="10"/>
      <c r="DW18" s="11"/>
      <c r="DY18" s="9"/>
      <c r="DZ18" s="10"/>
      <c r="EA18" s="11"/>
      <c r="EC18" s="9"/>
      <c r="ED18" s="10"/>
      <c r="EE18" s="11"/>
      <c r="EG18" s="9"/>
      <c r="EH18" s="10"/>
      <c r="EI18" s="11"/>
      <c r="EK18" s="9"/>
      <c r="EL18" s="10"/>
      <c r="EM18" s="11"/>
      <c r="EO18" s="9"/>
      <c r="EP18" s="10"/>
      <c r="EQ18" s="11"/>
      <c r="ES18" s="9"/>
      <c r="ET18" s="10"/>
      <c r="EU18" s="11"/>
      <c r="EW18" s="9"/>
      <c r="EX18" s="10"/>
      <c r="EY18" s="11"/>
      <c r="FA18" s="9"/>
      <c r="FB18" s="10"/>
      <c r="FC18" s="11"/>
      <c r="FE18" s="9"/>
      <c r="FF18" s="10"/>
      <c r="FG18" s="11"/>
      <c r="FI18" s="9"/>
      <c r="FJ18" s="10"/>
      <c r="FK18" s="11"/>
      <c r="FM18" s="9"/>
      <c r="FN18" s="10"/>
      <c r="FO18" s="11"/>
      <c r="FQ18" s="9"/>
      <c r="FR18" s="10"/>
      <c r="FS18" s="11"/>
      <c r="FU18" s="9"/>
      <c r="FV18" s="10"/>
      <c r="FW18" s="11"/>
      <c r="FY18" s="9"/>
      <c r="FZ18" s="10"/>
      <c r="GA18" s="11"/>
      <c r="GC18" s="9"/>
      <c r="GD18" s="10"/>
      <c r="GE18" s="11"/>
      <c r="GG18" s="9"/>
      <c r="GH18" s="10"/>
      <c r="GI18" s="11"/>
      <c r="GK18" s="9"/>
      <c r="GL18" s="10"/>
      <c r="GM18" s="11"/>
      <c r="GO18" s="9"/>
      <c r="GP18" s="10"/>
      <c r="GQ18" s="11"/>
      <c r="GS18" s="9"/>
      <c r="GT18" s="10"/>
      <c r="GU18" s="11"/>
    </row>
    <row r="19" spans="1:203">
      <c r="A19" s="72">
        <v>44620</v>
      </c>
      <c r="B19" s="10"/>
      <c r="C19" s="11">
        <v>6000</v>
      </c>
      <c r="E19" s="9"/>
      <c r="F19" s="10"/>
      <c r="G19" s="11"/>
      <c r="I19" s="9"/>
      <c r="J19" s="10"/>
      <c r="K19" s="11"/>
      <c r="M19" s="9"/>
      <c r="N19" s="10"/>
      <c r="O19" s="11"/>
      <c r="P19" s="12"/>
      <c r="Q19" s="9"/>
      <c r="R19" s="10"/>
      <c r="S19" s="11"/>
      <c r="U19" s="9"/>
      <c r="V19" s="10"/>
      <c r="W19" s="11"/>
      <c r="Y19" s="9"/>
      <c r="Z19" s="10"/>
      <c r="AA19" s="11"/>
      <c r="AC19" s="9"/>
      <c r="AD19" s="10"/>
      <c r="AE19" s="11"/>
      <c r="AG19" s="9"/>
      <c r="AH19" s="10"/>
      <c r="AI19" s="11"/>
      <c r="AK19" s="9"/>
      <c r="AL19" s="10"/>
      <c r="AM19" s="11"/>
      <c r="AO19" s="9"/>
      <c r="AP19" s="10"/>
      <c r="AQ19" s="11"/>
      <c r="AS19" s="9"/>
      <c r="AT19" s="10"/>
      <c r="AU19" s="11"/>
      <c r="AW19" s="9"/>
      <c r="AX19" s="10"/>
      <c r="AY19" s="11"/>
      <c r="BA19" s="9"/>
      <c r="BB19" s="10"/>
      <c r="BC19" s="11"/>
      <c r="BE19" s="9"/>
      <c r="BF19" s="10"/>
      <c r="BG19" s="11"/>
      <c r="BI19" s="9"/>
      <c r="BJ19" s="10"/>
      <c r="BK19" s="11"/>
      <c r="BM19" s="9"/>
      <c r="BN19" s="10"/>
      <c r="BO19" s="11"/>
      <c r="BQ19" s="9"/>
      <c r="BR19" s="10"/>
      <c r="BS19" s="11"/>
      <c r="BU19" s="9"/>
      <c r="BV19" s="10"/>
      <c r="BW19" s="11"/>
      <c r="BY19" s="9"/>
      <c r="BZ19" s="10"/>
      <c r="CA19" s="11"/>
      <c r="CC19" s="9"/>
      <c r="CD19" s="10"/>
      <c r="CE19" s="11"/>
      <c r="CG19" s="9"/>
      <c r="CH19" s="10"/>
      <c r="CI19" s="11"/>
      <c r="CK19" s="9"/>
      <c r="CL19" s="10"/>
      <c r="CM19" s="11"/>
      <c r="CO19" s="9"/>
      <c r="CP19" s="10"/>
      <c r="CQ19" s="11"/>
      <c r="CS19" s="9"/>
      <c r="CT19" s="10"/>
      <c r="CU19" s="11"/>
      <c r="CW19" s="9"/>
      <c r="CX19" s="10"/>
      <c r="CY19" s="11"/>
      <c r="DA19" s="9"/>
      <c r="DB19" s="10"/>
      <c r="DC19" s="11"/>
      <c r="DE19" s="9"/>
      <c r="DF19" s="10"/>
      <c r="DG19" s="11"/>
      <c r="DI19" s="9"/>
      <c r="DJ19" s="10"/>
      <c r="DK19" s="11"/>
      <c r="DM19" s="9"/>
      <c r="DN19" s="10"/>
      <c r="DO19" s="11"/>
      <c r="DQ19" s="9"/>
      <c r="DR19" s="10"/>
      <c r="DS19" s="11"/>
      <c r="DU19" s="9"/>
      <c r="DV19" s="10"/>
      <c r="DW19" s="11"/>
      <c r="DY19" s="9"/>
      <c r="DZ19" s="10"/>
      <c r="EA19" s="11"/>
      <c r="EC19" s="9"/>
      <c r="ED19" s="10"/>
      <c r="EE19" s="11"/>
      <c r="EG19" s="9"/>
      <c r="EH19" s="10"/>
      <c r="EI19" s="11"/>
      <c r="EK19" s="9"/>
      <c r="EL19" s="10"/>
      <c r="EM19" s="11"/>
      <c r="EO19" s="9"/>
      <c r="EP19" s="10"/>
      <c r="EQ19" s="11"/>
      <c r="ES19" s="9"/>
      <c r="ET19" s="10"/>
      <c r="EU19" s="11"/>
      <c r="EW19" s="9"/>
      <c r="EX19" s="10"/>
      <c r="EY19" s="11"/>
      <c r="FA19" s="9"/>
      <c r="FB19" s="10"/>
      <c r="FC19" s="11"/>
      <c r="FE19" s="9"/>
      <c r="FF19" s="10"/>
      <c r="FG19" s="11"/>
      <c r="FI19" s="9"/>
      <c r="FJ19" s="10"/>
      <c r="FK19" s="11"/>
      <c r="FM19" s="9"/>
      <c r="FN19" s="10"/>
      <c r="FO19" s="11"/>
      <c r="FQ19" s="9"/>
      <c r="FR19" s="10"/>
      <c r="FS19" s="11"/>
      <c r="FU19" s="9"/>
      <c r="FV19" s="10"/>
      <c r="FW19" s="11"/>
      <c r="FY19" s="9"/>
      <c r="FZ19" s="10"/>
      <c r="GA19" s="11"/>
      <c r="GC19" s="9"/>
      <c r="GD19" s="10"/>
      <c r="GE19" s="11"/>
      <c r="GG19" s="9"/>
      <c r="GH19" s="10"/>
      <c r="GI19" s="11"/>
      <c r="GK19" s="9"/>
      <c r="GL19" s="10"/>
      <c r="GM19" s="11"/>
      <c r="GO19" s="9"/>
      <c r="GP19" s="10"/>
      <c r="GQ19" s="11"/>
      <c r="GS19" s="9"/>
      <c r="GT19" s="10"/>
      <c r="GU19" s="11"/>
    </row>
    <row r="20" spans="1:203">
      <c r="A20" s="72">
        <v>44620</v>
      </c>
      <c r="B20" s="10">
        <v>16200</v>
      </c>
      <c r="C20" s="11"/>
      <c r="E20" s="9"/>
      <c r="F20" s="10"/>
      <c r="G20" s="11"/>
      <c r="I20" s="9"/>
      <c r="J20" s="10"/>
      <c r="K20" s="11"/>
      <c r="M20" s="9"/>
      <c r="N20" s="10"/>
      <c r="O20" s="11"/>
      <c r="P20" s="12"/>
      <c r="Q20" s="9"/>
      <c r="R20" s="10"/>
      <c r="S20" s="11"/>
      <c r="U20" s="9"/>
      <c r="V20" s="10"/>
      <c r="W20" s="11"/>
      <c r="Y20" s="9"/>
      <c r="Z20" s="10"/>
      <c r="AA20" s="11"/>
      <c r="AC20" s="9"/>
      <c r="AD20" s="10"/>
      <c r="AE20" s="11"/>
      <c r="AG20" s="9"/>
      <c r="AH20" s="10"/>
      <c r="AI20" s="11"/>
      <c r="AK20" s="9"/>
      <c r="AL20" s="10"/>
      <c r="AM20" s="11"/>
      <c r="AO20" s="9"/>
      <c r="AP20" s="10"/>
      <c r="AQ20" s="11"/>
      <c r="AS20" s="9"/>
      <c r="AT20" s="10"/>
      <c r="AU20" s="11"/>
      <c r="AW20" s="9"/>
      <c r="AX20" s="10"/>
      <c r="AY20" s="11"/>
      <c r="BA20" s="9"/>
      <c r="BB20" s="10"/>
      <c r="BC20" s="11"/>
      <c r="BE20" s="9"/>
      <c r="BF20" s="10"/>
      <c r="BG20" s="11"/>
      <c r="BI20" s="9"/>
      <c r="BJ20" s="10"/>
      <c r="BK20" s="11"/>
      <c r="BM20" s="9"/>
      <c r="BN20" s="10"/>
      <c r="BO20" s="11"/>
      <c r="BQ20" s="9"/>
      <c r="BR20" s="10"/>
      <c r="BS20" s="11"/>
      <c r="BU20" s="9"/>
      <c r="BV20" s="10"/>
      <c r="BW20" s="11"/>
      <c r="BY20" s="9"/>
      <c r="BZ20" s="10"/>
      <c r="CA20" s="11"/>
      <c r="CC20" s="9"/>
      <c r="CD20" s="10"/>
      <c r="CE20" s="11"/>
      <c r="CG20" s="9"/>
      <c r="CH20" s="10"/>
      <c r="CI20" s="11"/>
      <c r="CK20" s="9"/>
      <c r="CL20" s="10"/>
      <c r="CM20" s="11"/>
      <c r="CO20" s="9"/>
      <c r="CP20" s="10"/>
      <c r="CQ20" s="11"/>
      <c r="CS20" s="9"/>
      <c r="CT20" s="10"/>
      <c r="CU20" s="11"/>
      <c r="CW20" s="9"/>
      <c r="CX20" s="10"/>
      <c r="CY20" s="11"/>
      <c r="DA20" s="9"/>
      <c r="DB20" s="10"/>
      <c r="DC20" s="11"/>
      <c r="DE20" s="9"/>
      <c r="DF20" s="10"/>
      <c r="DG20" s="11"/>
      <c r="DI20" s="9"/>
      <c r="DJ20" s="10"/>
      <c r="DK20" s="11"/>
      <c r="DM20" s="9"/>
      <c r="DN20" s="10"/>
      <c r="DO20" s="11"/>
      <c r="DQ20" s="9"/>
      <c r="DR20" s="10"/>
      <c r="DS20" s="11"/>
      <c r="DU20" s="9"/>
      <c r="DV20" s="10"/>
      <c r="DW20" s="11"/>
      <c r="DY20" s="9"/>
      <c r="DZ20" s="10"/>
      <c r="EA20" s="11"/>
      <c r="EC20" s="9"/>
      <c r="ED20" s="10"/>
      <c r="EE20" s="11"/>
      <c r="EG20" s="9"/>
      <c r="EH20" s="10"/>
      <c r="EI20" s="11"/>
      <c r="EK20" s="9"/>
      <c r="EL20" s="10"/>
      <c r="EM20" s="11"/>
      <c r="EO20" s="9"/>
      <c r="EP20" s="10"/>
      <c r="EQ20" s="11"/>
      <c r="ES20" s="9"/>
      <c r="ET20" s="10"/>
      <c r="EU20" s="11"/>
      <c r="EW20" s="9"/>
      <c r="EX20" s="10"/>
      <c r="EY20" s="11"/>
      <c r="FA20" s="9"/>
      <c r="FB20" s="10"/>
      <c r="FC20" s="11"/>
      <c r="FE20" s="9"/>
      <c r="FF20" s="10"/>
      <c r="FG20" s="11"/>
      <c r="FI20" s="9"/>
      <c r="FJ20" s="10"/>
      <c r="FK20" s="11"/>
      <c r="FM20" s="9"/>
      <c r="FN20" s="10"/>
      <c r="FO20" s="11"/>
      <c r="FQ20" s="9"/>
      <c r="FR20" s="10"/>
      <c r="FS20" s="11"/>
      <c r="FU20" s="9"/>
      <c r="FV20" s="10"/>
      <c r="FW20" s="11"/>
      <c r="FY20" s="9"/>
      <c r="FZ20" s="10"/>
      <c r="GA20" s="11"/>
      <c r="GC20" s="9"/>
      <c r="GD20" s="10"/>
      <c r="GE20" s="11"/>
      <c r="GG20" s="9"/>
      <c r="GH20" s="10"/>
      <c r="GI20" s="11"/>
      <c r="GK20" s="9"/>
      <c r="GL20" s="10"/>
      <c r="GM20" s="11"/>
      <c r="GO20" s="9"/>
      <c r="GP20" s="10"/>
      <c r="GQ20" s="11"/>
      <c r="GS20" s="9"/>
      <c r="GT20" s="10"/>
      <c r="GU20" s="11"/>
    </row>
    <row r="21" spans="1:203">
      <c r="A21" s="72">
        <v>44620</v>
      </c>
      <c r="B21" s="10">
        <v>300</v>
      </c>
      <c r="C21" s="11"/>
      <c r="E21" s="9"/>
      <c r="F21" s="10"/>
      <c r="G21" s="11"/>
      <c r="I21" s="9"/>
      <c r="J21" s="10"/>
      <c r="K21" s="11"/>
      <c r="M21" s="9"/>
      <c r="N21" s="10"/>
      <c r="O21" s="11"/>
      <c r="P21" s="12"/>
      <c r="Q21" s="9"/>
      <c r="R21" s="10"/>
      <c r="S21" s="11"/>
      <c r="U21" s="9"/>
      <c r="V21" s="10"/>
      <c r="W21" s="11"/>
      <c r="Y21" s="9"/>
      <c r="Z21" s="10"/>
      <c r="AA21" s="11"/>
      <c r="AC21" s="9"/>
      <c r="AD21" s="10"/>
      <c r="AE21" s="11"/>
      <c r="AG21" s="9"/>
      <c r="AH21" s="10"/>
      <c r="AI21" s="11"/>
      <c r="AK21" s="9"/>
      <c r="AL21" s="10"/>
      <c r="AM21" s="11"/>
      <c r="AO21" s="9"/>
      <c r="AP21" s="10"/>
      <c r="AQ21" s="11"/>
      <c r="AS21" s="9"/>
      <c r="AT21" s="10"/>
      <c r="AU21" s="11"/>
      <c r="AW21" s="9"/>
      <c r="AX21" s="10"/>
      <c r="AY21" s="11"/>
      <c r="BA21" s="9"/>
      <c r="BB21" s="10"/>
      <c r="BC21" s="11"/>
      <c r="BE21" s="9"/>
      <c r="BF21" s="10"/>
      <c r="BG21" s="11"/>
      <c r="BI21" s="9"/>
      <c r="BJ21" s="10"/>
      <c r="BK21" s="11"/>
      <c r="BM21" s="9"/>
      <c r="BN21" s="10"/>
      <c r="BO21" s="11"/>
      <c r="BQ21" s="9"/>
      <c r="BR21" s="10"/>
      <c r="BS21" s="11"/>
      <c r="BU21" s="9"/>
      <c r="BV21" s="10"/>
      <c r="BW21" s="11"/>
      <c r="BY21" s="9"/>
      <c r="BZ21" s="10"/>
      <c r="CA21" s="11"/>
      <c r="CC21" s="9"/>
      <c r="CD21" s="10"/>
      <c r="CE21" s="11"/>
      <c r="CG21" s="9"/>
      <c r="CH21" s="10"/>
      <c r="CI21" s="11"/>
      <c r="CK21" s="9"/>
      <c r="CL21" s="10"/>
      <c r="CM21" s="11"/>
      <c r="CO21" s="9"/>
      <c r="CP21" s="10"/>
      <c r="CQ21" s="11"/>
      <c r="CS21" s="9"/>
      <c r="CT21" s="10"/>
      <c r="CU21" s="11"/>
      <c r="CW21" s="9"/>
      <c r="CX21" s="10"/>
      <c r="CY21" s="11"/>
      <c r="DA21" s="9"/>
      <c r="DB21" s="10"/>
      <c r="DC21" s="11"/>
      <c r="DE21" s="9"/>
      <c r="DF21" s="10"/>
      <c r="DG21" s="11"/>
      <c r="DI21" s="9"/>
      <c r="DJ21" s="10"/>
      <c r="DK21" s="11"/>
      <c r="DM21" s="9"/>
      <c r="DN21" s="10"/>
      <c r="DO21" s="11"/>
      <c r="DQ21" s="9"/>
      <c r="DR21" s="10"/>
      <c r="DS21" s="11"/>
      <c r="DU21" s="9"/>
      <c r="DV21" s="10"/>
      <c r="DW21" s="11"/>
      <c r="DY21" s="9"/>
      <c r="DZ21" s="10"/>
      <c r="EA21" s="11"/>
      <c r="EC21" s="9"/>
      <c r="ED21" s="10"/>
      <c r="EE21" s="11"/>
      <c r="EG21" s="9"/>
      <c r="EH21" s="10"/>
      <c r="EI21" s="11"/>
      <c r="EK21" s="9"/>
      <c r="EL21" s="10"/>
      <c r="EM21" s="11"/>
      <c r="EO21" s="9"/>
      <c r="EP21" s="10"/>
      <c r="EQ21" s="11"/>
      <c r="ES21" s="9"/>
      <c r="ET21" s="10"/>
      <c r="EU21" s="11"/>
      <c r="EW21" s="9"/>
      <c r="EX21" s="10"/>
      <c r="EY21" s="11"/>
      <c r="FA21" s="9"/>
      <c r="FB21" s="10"/>
      <c r="FC21" s="11"/>
      <c r="FE21" s="9"/>
      <c r="FF21" s="10"/>
      <c r="FG21" s="11"/>
      <c r="FI21" s="9"/>
      <c r="FJ21" s="10"/>
      <c r="FK21" s="11"/>
      <c r="FM21" s="9"/>
      <c r="FN21" s="10"/>
      <c r="FO21" s="11"/>
      <c r="FQ21" s="9"/>
      <c r="FR21" s="10"/>
      <c r="FS21" s="11"/>
      <c r="FU21" s="9"/>
      <c r="FV21" s="10"/>
      <c r="FW21" s="11"/>
      <c r="FY21" s="9"/>
      <c r="FZ21" s="10"/>
      <c r="GA21" s="11"/>
      <c r="GC21" s="9"/>
      <c r="GD21" s="10"/>
      <c r="GE21" s="11"/>
      <c r="GG21" s="9"/>
      <c r="GH21" s="10"/>
      <c r="GI21" s="11"/>
      <c r="GK21" s="9"/>
      <c r="GL21" s="10"/>
      <c r="GM21" s="11"/>
      <c r="GO21" s="9"/>
      <c r="GP21" s="10"/>
      <c r="GQ21" s="11"/>
      <c r="GS21" s="9"/>
      <c r="GT21" s="10"/>
      <c r="GU21" s="11"/>
    </row>
    <row r="22" spans="1:203">
      <c r="A22" s="72">
        <v>44620</v>
      </c>
      <c r="B22" s="10">
        <v>15000</v>
      </c>
      <c r="C22" s="11"/>
      <c r="E22" s="9"/>
      <c r="F22" s="10"/>
      <c r="G22" s="11"/>
      <c r="I22" s="9"/>
      <c r="J22" s="10"/>
      <c r="K22" s="11"/>
      <c r="M22" s="9"/>
      <c r="N22" s="10"/>
      <c r="O22" s="11"/>
      <c r="P22" s="12"/>
      <c r="Q22" s="9"/>
      <c r="R22" s="10"/>
      <c r="S22" s="11"/>
      <c r="U22" s="9"/>
      <c r="V22" s="10"/>
      <c r="W22" s="11"/>
      <c r="Y22" s="9"/>
      <c r="Z22" s="10"/>
      <c r="AA22" s="11"/>
      <c r="AC22" s="9"/>
      <c r="AD22" s="10"/>
      <c r="AE22" s="11"/>
      <c r="AG22" s="9"/>
      <c r="AH22" s="10"/>
      <c r="AI22" s="11"/>
      <c r="AK22" s="9"/>
      <c r="AL22" s="10"/>
      <c r="AM22" s="11"/>
      <c r="AO22" s="9"/>
      <c r="AP22" s="10"/>
      <c r="AQ22" s="11"/>
      <c r="AS22" s="9"/>
      <c r="AT22" s="10"/>
      <c r="AU22" s="11"/>
      <c r="AW22" s="9"/>
      <c r="AX22" s="10"/>
      <c r="AY22" s="11"/>
      <c r="BA22" s="9"/>
      <c r="BB22" s="10"/>
      <c r="BC22" s="11"/>
      <c r="BE22" s="9"/>
      <c r="BF22" s="10"/>
      <c r="BG22" s="11"/>
      <c r="BI22" s="9"/>
      <c r="BJ22" s="10"/>
      <c r="BK22" s="11"/>
      <c r="BM22" s="9"/>
      <c r="BN22" s="10"/>
      <c r="BO22" s="11"/>
      <c r="BQ22" s="9"/>
      <c r="BR22" s="10"/>
      <c r="BS22" s="11"/>
      <c r="BU22" s="9"/>
      <c r="BV22" s="10"/>
      <c r="BW22" s="11"/>
      <c r="BY22" s="9"/>
      <c r="BZ22" s="10"/>
      <c r="CA22" s="11"/>
      <c r="CC22" s="9"/>
      <c r="CD22" s="10"/>
      <c r="CE22" s="11"/>
      <c r="CG22" s="9"/>
      <c r="CH22" s="10"/>
      <c r="CI22" s="11"/>
      <c r="CK22" s="9"/>
      <c r="CL22" s="10"/>
      <c r="CM22" s="11"/>
      <c r="CO22" s="9"/>
      <c r="CP22" s="10"/>
      <c r="CQ22" s="11"/>
      <c r="CS22" s="9"/>
      <c r="CT22" s="10"/>
      <c r="CU22" s="11"/>
      <c r="CW22" s="9"/>
      <c r="CX22" s="10"/>
      <c r="CY22" s="11"/>
      <c r="DA22" s="9"/>
      <c r="DB22" s="10"/>
      <c r="DC22" s="11"/>
      <c r="DE22" s="9"/>
      <c r="DF22" s="10"/>
      <c r="DG22" s="11"/>
      <c r="DI22" s="9"/>
      <c r="DJ22" s="10"/>
      <c r="DK22" s="11"/>
      <c r="DM22" s="9"/>
      <c r="DN22" s="10"/>
      <c r="DO22" s="11"/>
      <c r="DQ22" s="9"/>
      <c r="DR22" s="10"/>
      <c r="DS22" s="11"/>
      <c r="DU22" s="9"/>
      <c r="DV22" s="10"/>
      <c r="DW22" s="11"/>
      <c r="DY22" s="9"/>
      <c r="DZ22" s="10"/>
      <c r="EA22" s="11"/>
      <c r="EC22" s="9"/>
      <c r="ED22" s="10"/>
      <c r="EE22" s="11"/>
      <c r="EG22" s="9"/>
      <c r="EH22" s="10"/>
      <c r="EI22" s="11"/>
      <c r="EK22" s="9"/>
      <c r="EL22" s="10"/>
      <c r="EM22" s="11"/>
      <c r="EO22" s="9"/>
      <c r="EP22" s="10"/>
      <c r="EQ22" s="11"/>
      <c r="ES22" s="9"/>
      <c r="ET22" s="10"/>
      <c r="EU22" s="11"/>
      <c r="EW22" s="9"/>
      <c r="EX22" s="10"/>
      <c r="EY22" s="11"/>
      <c r="FA22" s="9"/>
      <c r="FB22" s="10"/>
      <c r="FC22" s="11"/>
      <c r="FE22" s="9"/>
      <c r="FF22" s="10"/>
      <c r="FG22" s="11"/>
      <c r="FI22" s="9"/>
      <c r="FJ22" s="10"/>
      <c r="FK22" s="11"/>
      <c r="FM22" s="9"/>
      <c r="FN22" s="10"/>
      <c r="FO22" s="11"/>
      <c r="FQ22" s="9"/>
      <c r="FR22" s="10"/>
      <c r="FS22" s="11"/>
      <c r="FU22" s="9"/>
      <c r="FV22" s="10"/>
      <c r="FW22" s="11"/>
      <c r="FY22" s="9"/>
      <c r="FZ22" s="10"/>
      <c r="GA22" s="11"/>
      <c r="GC22" s="9"/>
      <c r="GD22" s="10"/>
      <c r="GE22" s="11"/>
      <c r="GG22" s="9"/>
      <c r="GH22" s="10"/>
      <c r="GI22" s="11"/>
      <c r="GK22" s="9"/>
      <c r="GL22" s="10"/>
      <c r="GM22" s="11"/>
      <c r="GO22" s="9"/>
      <c r="GP22" s="10"/>
      <c r="GQ22" s="11"/>
      <c r="GS22" s="9"/>
      <c r="GT22" s="10"/>
      <c r="GU22" s="11"/>
    </row>
    <row r="23" spans="1:203">
      <c r="A23" s="72">
        <v>44620</v>
      </c>
      <c r="B23" s="10">
        <v>0</v>
      </c>
      <c r="C23" s="11"/>
      <c r="E23" s="9"/>
      <c r="F23" s="10"/>
      <c r="G23" s="11"/>
      <c r="I23" s="9"/>
      <c r="J23" s="10"/>
      <c r="K23" s="11"/>
      <c r="M23" s="9"/>
      <c r="N23" s="10"/>
      <c r="O23" s="11"/>
      <c r="P23" s="12"/>
      <c r="Q23" s="9"/>
      <c r="R23" s="10"/>
      <c r="S23" s="11"/>
      <c r="U23" s="9"/>
      <c r="V23" s="10"/>
      <c r="W23" s="11"/>
      <c r="Y23" s="9"/>
      <c r="Z23" s="10"/>
      <c r="AA23" s="11"/>
      <c r="AC23" s="9"/>
      <c r="AD23" s="10"/>
      <c r="AE23" s="11"/>
      <c r="AG23" s="9"/>
      <c r="AH23" s="10"/>
      <c r="AI23" s="11"/>
      <c r="AK23" s="9"/>
      <c r="AL23" s="10"/>
      <c r="AM23" s="11"/>
      <c r="AO23" s="9"/>
      <c r="AP23" s="10"/>
      <c r="AQ23" s="11"/>
      <c r="AS23" s="9"/>
      <c r="AT23" s="10"/>
      <c r="AU23" s="11"/>
      <c r="AW23" s="9"/>
      <c r="AX23" s="10"/>
      <c r="AY23" s="11"/>
      <c r="BA23" s="9"/>
      <c r="BB23" s="10"/>
      <c r="BC23" s="11"/>
      <c r="BE23" s="9"/>
      <c r="BF23" s="10"/>
      <c r="BG23" s="11"/>
      <c r="BI23" s="9"/>
      <c r="BJ23" s="10"/>
      <c r="BK23" s="11"/>
      <c r="BM23" s="9"/>
      <c r="BN23" s="10"/>
      <c r="BO23" s="11"/>
      <c r="BQ23" s="9"/>
      <c r="BR23" s="10"/>
      <c r="BS23" s="11"/>
      <c r="BU23" s="9"/>
      <c r="BV23" s="10"/>
      <c r="BW23" s="11"/>
      <c r="BY23" s="9"/>
      <c r="BZ23" s="10"/>
      <c r="CA23" s="11"/>
      <c r="CC23" s="9"/>
      <c r="CD23" s="10"/>
      <c r="CE23" s="11"/>
      <c r="CG23" s="9"/>
      <c r="CH23" s="10"/>
      <c r="CI23" s="11"/>
      <c r="CK23" s="9"/>
      <c r="CL23" s="10"/>
      <c r="CM23" s="11"/>
      <c r="CO23" s="9"/>
      <c r="CP23" s="10"/>
      <c r="CQ23" s="11"/>
      <c r="CS23" s="9"/>
      <c r="CT23" s="10"/>
      <c r="CU23" s="11"/>
      <c r="CW23" s="9"/>
      <c r="CX23" s="10"/>
      <c r="CY23" s="11"/>
      <c r="DA23" s="9"/>
      <c r="DB23" s="10"/>
      <c r="DC23" s="11"/>
      <c r="DE23" s="9"/>
      <c r="DF23" s="10"/>
      <c r="DG23" s="11"/>
      <c r="DI23" s="9"/>
      <c r="DJ23" s="10"/>
      <c r="DK23" s="11"/>
      <c r="DM23" s="9"/>
      <c r="DN23" s="10"/>
      <c r="DO23" s="11"/>
      <c r="DQ23" s="9"/>
      <c r="DR23" s="10"/>
      <c r="DS23" s="11"/>
      <c r="DU23" s="9"/>
      <c r="DV23" s="10"/>
      <c r="DW23" s="11"/>
      <c r="DY23" s="9"/>
      <c r="DZ23" s="10"/>
      <c r="EA23" s="11"/>
      <c r="EC23" s="9"/>
      <c r="ED23" s="10"/>
      <c r="EE23" s="11"/>
      <c r="EG23" s="9"/>
      <c r="EH23" s="10"/>
      <c r="EI23" s="11"/>
      <c r="EK23" s="9"/>
      <c r="EL23" s="10"/>
      <c r="EM23" s="11"/>
      <c r="EO23" s="9"/>
      <c r="EP23" s="10"/>
      <c r="EQ23" s="11"/>
      <c r="ES23" s="9"/>
      <c r="ET23" s="10"/>
      <c r="EU23" s="11"/>
      <c r="EW23" s="9"/>
      <c r="EX23" s="10"/>
      <c r="EY23" s="11"/>
      <c r="FA23" s="9"/>
      <c r="FB23" s="10"/>
      <c r="FC23" s="11"/>
      <c r="FE23" s="9"/>
      <c r="FF23" s="10"/>
      <c r="FG23" s="11"/>
      <c r="FI23" s="9"/>
      <c r="FJ23" s="10"/>
      <c r="FK23" s="11"/>
      <c r="FM23" s="9"/>
      <c r="FN23" s="10"/>
      <c r="FO23" s="11"/>
      <c r="FQ23" s="9"/>
      <c r="FR23" s="10"/>
      <c r="FS23" s="11"/>
      <c r="FU23" s="9"/>
      <c r="FV23" s="10"/>
      <c r="FW23" s="11"/>
      <c r="FY23" s="9"/>
      <c r="FZ23" s="10"/>
      <c r="GA23" s="11"/>
      <c r="GC23" s="9"/>
      <c r="GD23" s="10"/>
      <c r="GE23" s="11"/>
      <c r="GG23" s="9"/>
      <c r="GH23" s="10"/>
      <c r="GI23" s="11"/>
      <c r="GK23" s="9"/>
      <c r="GL23" s="10"/>
      <c r="GM23" s="11"/>
      <c r="GO23" s="9"/>
      <c r="GP23" s="10"/>
      <c r="GQ23" s="11"/>
      <c r="GS23" s="9"/>
      <c r="GT23" s="10"/>
      <c r="GU23" s="11"/>
    </row>
    <row r="24" spans="1:203">
      <c r="A24" s="72">
        <v>44620</v>
      </c>
      <c r="B24" s="10">
        <v>80</v>
      </c>
      <c r="C24" s="11"/>
      <c r="E24" s="9"/>
      <c r="F24" s="10"/>
      <c r="G24" s="11"/>
      <c r="I24" s="9"/>
      <c r="J24" s="10"/>
      <c r="K24" s="11"/>
      <c r="M24" s="9"/>
      <c r="N24" s="10"/>
      <c r="O24" s="11"/>
      <c r="P24" s="12"/>
      <c r="Q24" s="9"/>
      <c r="R24" s="10"/>
      <c r="S24" s="11"/>
      <c r="U24" s="9"/>
      <c r="V24" s="10"/>
      <c r="W24" s="11"/>
      <c r="Y24" s="9"/>
      <c r="Z24" s="10"/>
      <c r="AA24" s="11"/>
      <c r="AC24" s="9"/>
      <c r="AD24" s="10"/>
      <c r="AE24" s="11"/>
      <c r="AG24" s="9"/>
      <c r="AH24" s="10"/>
      <c r="AI24" s="11"/>
      <c r="AK24" s="9"/>
      <c r="AL24" s="10"/>
      <c r="AM24" s="11"/>
      <c r="AO24" s="9"/>
      <c r="AP24" s="10"/>
      <c r="AQ24" s="11"/>
      <c r="AS24" s="9"/>
      <c r="AT24" s="10"/>
      <c r="AU24" s="11"/>
      <c r="AW24" s="9"/>
      <c r="AX24" s="10"/>
      <c r="AY24" s="11"/>
      <c r="BA24" s="9"/>
      <c r="BB24" s="10"/>
      <c r="BC24" s="11"/>
      <c r="BE24" s="9"/>
      <c r="BF24" s="10"/>
      <c r="BG24" s="11"/>
      <c r="BI24" s="9"/>
      <c r="BJ24" s="10"/>
      <c r="BK24" s="11"/>
      <c r="BM24" s="9"/>
      <c r="BN24" s="10"/>
      <c r="BO24" s="11"/>
      <c r="BQ24" s="9"/>
      <c r="BR24" s="10"/>
      <c r="BS24" s="11"/>
      <c r="BU24" s="9"/>
      <c r="BV24" s="10"/>
      <c r="BW24" s="11"/>
      <c r="BY24" s="9"/>
      <c r="BZ24" s="10"/>
      <c r="CA24" s="11"/>
      <c r="CC24" s="9"/>
      <c r="CD24" s="10"/>
      <c r="CE24" s="11"/>
      <c r="CG24" s="9"/>
      <c r="CH24" s="10"/>
      <c r="CI24" s="11"/>
      <c r="CK24" s="9"/>
      <c r="CL24" s="10"/>
      <c r="CM24" s="11"/>
      <c r="CO24" s="9"/>
      <c r="CP24" s="10"/>
      <c r="CQ24" s="11"/>
      <c r="CS24" s="9"/>
      <c r="CT24" s="10"/>
      <c r="CU24" s="11"/>
      <c r="CW24" s="9"/>
      <c r="CX24" s="10"/>
      <c r="CY24" s="11"/>
      <c r="DA24" s="9"/>
      <c r="DB24" s="10"/>
      <c r="DC24" s="11"/>
      <c r="DE24" s="9"/>
      <c r="DF24" s="10"/>
      <c r="DG24" s="11"/>
      <c r="DI24" s="9"/>
      <c r="DJ24" s="10"/>
      <c r="DK24" s="11"/>
      <c r="DM24" s="9"/>
      <c r="DN24" s="10"/>
      <c r="DO24" s="11"/>
      <c r="DQ24" s="9"/>
      <c r="DR24" s="10"/>
      <c r="DS24" s="11"/>
      <c r="DU24" s="9"/>
      <c r="DV24" s="10"/>
      <c r="DW24" s="11"/>
      <c r="DY24" s="9"/>
      <c r="DZ24" s="10"/>
      <c r="EA24" s="11"/>
      <c r="EC24" s="9"/>
      <c r="ED24" s="10"/>
      <c r="EE24" s="11"/>
      <c r="EG24" s="9"/>
      <c r="EH24" s="10"/>
      <c r="EI24" s="11"/>
      <c r="EK24" s="9"/>
      <c r="EL24" s="10"/>
      <c r="EM24" s="11"/>
      <c r="EO24" s="9"/>
      <c r="EP24" s="10"/>
      <c r="EQ24" s="11"/>
      <c r="ES24" s="9"/>
      <c r="ET24" s="10"/>
      <c r="EU24" s="11"/>
      <c r="EW24" s="9"/>
      <c r="EX24" s="10"/>
      <c r="EY24" s="11"/>
      <c r="FA24" s="9"/>
      <c r="FB24" s="10"/>
      <c r="FC24" s="11"/>
      <c r="FE24" s="9"/>
      <c r="FF24" s="10"/>
      <c r="FG24" s="11"/>
      <c r="FI24" s="9"/>
      <c r="FJ24" s="10"/>
      <c r="FK24" s="11"/>
      <c r="FM24" s="9"/>
      <c r="FN24" s="10"/>
      <c r="FO24" s="11"/>
      <c r="FQ24" s="9"/>
      <c r="FR24" s="10"/>
      <c r="FS24" s="11"/>
      <c r="FU24" s="9"/>
      <c r="FV24" s="10"/>
      <c r="FW24" s="11"/>
      <c r="FY24" s="9"/>
      <c r="FZ24" s="10"/>
      <c r="GA24" s="11"/>
      <c r="GC24" s="9"/>
      <c r="GD24" s="10"/>
      <c r="GE24" s="11"/>
      <c r="GG24" s="9"/>
      <c r="GH24" s="10"/>
      <c r="GI24" s="11"/>
      <c r="GK24" s="9"/>
      <c r="GL24" s="10"/>
      <c r="GM24" s="11"/>
      <c r="GO24" s="9"/>
      <c r="GP24" s="10"/>
      <c r="GQ24" s="11"/>
      <c r="GS24" s="9"/>
      <c r="GT24" s="10"/>
      <c r="GU24" s="11"/>
    </row>
    <row r="25" spans="1:203">
      <c r="A25" s="72"/>
      <c r="B25" s="10"/>
      <c r="C25" s="11"/>
      <c r="E25" s="9"/>
      <c r="F25" s="10"/>
      <c r="G25" s="11"/>
      <c r="I25" s="9"/>
      <c r="J25" s="10"/>
      <c r="K25" s="11"/>
      <c r="M25" s="9"/>
      <c r="N25" s="10"/>
      <c r="O25" s="11"/>
      <c r="P25" s="12"/>
      <c r="Q25" s="9"/>
      <c r="R25" s="10"/>
      <c r="S25" s="11"/>
      <c r="U25" s="9"/>
      <c r="V25" s="10"/>
      <c r="W25" s="11"/>
      <c r="Y25" s="9"/>
      <c r="Z25" s="10"/>
      <c r="AA25" s="11"/>
      <c r="AC25" s="9"/>
      <c r="AD25" s="10"/>
      <c r="AE25" s="11"/>
      <c r="AG25" s="9"/>
      <c r="AH25" s="10"/>
      <c r="AI25" s="11"/>
      <c r="AK25" s="9"/>
      <c r="AL25" s="10"/>
      <c r="AM25" s="11"/>
      <c r="AO25" s="9"/>
      <c r="AP25" s="10"/>
      <c r="AQ25" s="11"/>
      <c r="AS25" s="9"/>
      <c r="AT25" s="10"/>
      <c r="AU25" s="11"/>
      <c r="AW25" s="9"/>
      <c r="AX25" s="10"/>
      <c r="AY25" s="11"/>
      <c r="BA25" s="9"/>
      <c r="BB25" s="10"/>
      <c r="BC25" s="11"/>
      <c r="BE25" s="9"/>
      <c r="BF25" s="10"/>
      <c r="BG25" s="11"/>
      <c r="BI25" s="9"/>
      <c r="BJ25" s="10"/>
      <c r="BK25" s="11"/>
      <c r="BM25" s="9"/>
      <c r="BN25" s="10"/>
      <c r="BO25" s="11"/>
      <c r="BQ25" s="9"/>
      <c r="BR25" s="10"/>
      <c r="BS25" s="11"/>
      <c r="BU25" s="9"/>
      <c r="BV25" s="10"/>
      <c r="BW25" s="11"/>
      <c r="BY25" s="9"/>
      <c r="BZ25" s="10"/>
      <c r="CA25" s="11"/>
      <c r="CC25" s="9"/>
      <c r="CD25" s="10"/>
      <c r="CE25" s="11"/>
      <c r="CG25" s="9"/>
      <c r="CH25" s="10"/>
      <c r="CI25" s="11"/>
      <c r="CK25" s="9"/>
      <c r="CL25" s="10"/>
      <c r="CM25" s="11"/>
      <c r="CO25" s="9"/>
      <c r="CP25" s="10"/>
      <c r="CQ25" s="11"/>
      <c r="CS25" s="9"/>
      <c r="CT25" s="10"/>
      <c r="CU25" s="11"/>
      <c r="CW25" s="9"/>
      <c r="CX25" s="10"/>
      <c r="CY25" s="11"/>
      <c r="DA25" s="9"/>
      <c r="DB25" s="10"/>
      <c r="DC25" s="11"/>
      <c r="DE25" s="9"/>
      <c r="DF25" s="10"/>
      <c r="DG25" s="11"/>
      <c r="DI25" s="9"/>
      <c r="DJ25" s="10"/>
      <c r="DK25" s="11"/>
      <c r="DM25" s="9"/>
      <c r="DN25" s="10"/>
      <c r="DO25" s="11"/>
      <c r="DQ25" s="9"/>
      <c r="DR25" s="10"/>
      <c r="DS25" s="11"/>
      <c r="DU25" s="9"/>
      <c r="DV25" s="10"/>
      <c r="DW25" s="11"/>
      <c r="DY25" s="9"/>
      <c r="DZ25" s="10"/>
      <c r="EA25" s="11"/>
      <c r="EC25" s="9"/>
      <c r="ED25" s="10"/>
      <c r="EE25" s="11"/>
      <c r="EG25" s="9"/>
      <c r="EH25" s="10"/>
      <c r="EI25" s="11"/>
      <c r="EK25" s="9"/>
      <c r="EL25" s="10"/>
      <c r="EM25" s="11"/>
      <c r="EO25" s="9"/>
      <c r="EP25" s="10"/>
      <c r="EQ25" s="11"/>
      <c r="ES25" s="9"/>
      <c r="ET25" s="10"/>
      <c r="EU25" s="11"/>
      <c r="EW25" s="9"/>
      <c r="EX25" s="10"/>
      <c r="EY25" s="11"/>
      <c r="FA25" s="9"/>
      <c r="FB25" s="10"/>
      <c r="FC25" s="11"/>
      <c r="FE25" s="9"/>
      <c r="FF25" s="10"/>
      <c r="FG25" s="11"/>
      <c r="FI25" s="9"/>
      <c r="FJ25" s="10"/>
      <c r="FK25" s="11"/>
      <c r="FM25" s="9"/>
      <c r="FN25" s="10"/>
      <c r="FO25" s="11"/>
      <c r="FQ25" s="9"/>
      <c r="FR25" s="10"/>
      <c r="FS25" s="11"/>
      <c r="FU25" s="9"/>
      <c r="FV25" s="10"/>
      <c r="FW25" s="11"/>
      <c r="FY25" s="9"/>
      <c r="FZ25" s="10"/>
      <c r="GA25" s="11"/>
      <c r="GC25" s="9"/>
      <c r="GD25" s="10"/>
      <c r="GE25" s="11"/>
      <c r="GG25" s="9"/>
      <c r="GH25" s="10"/>
      <c r="GI25" s="11"/>
      <c r="GK25" s="9"/>
      <c r="GL25" s="10"/>
      <c r="GM25" s="11"/>
      <c r="GO25" s="9"/>
      <c r="GP25" s="10"/>
      <c r="GQ25" s="11"/>
      <c r="GS25" s="9"/>
      <c r="GT25" s="10"/>
      <c r="GU25" s="11"/>
    </row>
    <row r="26" spans="1:203">
      <c r="A26" s="65"/>
      <c r="B26" s="10"/>
      <c r="C26" s="11"/>
      <c r="E26" s="9"/>
      <c r="F26" s="10"/>
      <c r="G26" s="11"/>
      <c r="I26" s="9"/>
      <c r="J26" s="10"/>
      <c r="K26" s="11"/>
      <c r="M26" s="9"/>
      <c r="N26" s="10"/>
      <c r="O26" s="11"/>
      <c r="P26" s="12"/>
      <c r="Q26" s="9"/>
      <c r="R26" s="10"/>
      <c r="S26" s="11"/>
      <c r="U26" s="9"/>
      <c r="V26" s="10"/>
      <c r="W26" s="11"/>
      <c r="Y26" s="9"/>
      <c r="Z26" s="10"/>
      <c r="AA26" s="11"/>
      <c r="AC26" s="9"/>
      <c r="AD26" s="10"/>
      <c r="AE26" s="11"/>
      <c r="AG26" s="9"/>
      <c r="AH26" s="10"/>
      <c r="AI26" s="11"/>
      <c r="AK26" s="9"/>
      <c r="AL26" s="10"/>
      <c r="AM26" s="11"/>
      <c r="AO26" s="9"/>
      <c r="AP26" s="10"/>
      <c r="AQ26" s="11"/>
      <c r="AS26" s="9"/>
      <c r="AT26" s="10"/>
      <c r="AU26" s="11"/>
      <c r="AW26" s="9"/>
      <c r="AX26" s="10"/>
      <c r="AY26" s="11"/>
      <c r="BA26" s="9"/>
      <c r="BB26" s="10"/>
      <c r="BC26" s="11"/>
      <c r="BE26" s="9"/>
      <c r="BF26" s="10"/>
      <c r="BG26" s="11"/>
      <c r="BI26" s="9"/>
      <c r="BJ26" s="10"/>
      <c r="BK26" s="11"/>
      <c r="BM26" s="9"/>
      <c r="BN26" s="10"/>
      <c r="BO26" s="11"/>
      <c r="BQ26" s="9"/>
      <c r="BR26" s="10"/>
      <c r="BS26" s="11"/>
      <c r="BU26" s="9"/>
      <c r="BV26" s="10"/>
      <c r="BW26" s="11"/>
      <c r="BY26" s="9"/>
      <c r="BZ26" s="10"/>
      <c r="CA26" s="11"/>
      <c r="CC26" s="9"/>
      <c r="CD26" s="10"/>
      <c r="CE26" s="11"/>
      <c r="CG26" s="9"/>
      <c r="CH26" s="10"/>
      <c r="CI26" s="11"/>
      <c r="CK26" s="9"/>
      <c r="CL26" s="10"/>
      <c r="CM26" s="11"/>
      <c r="CO26" s="9"/>
      <c r="CP26" s="10"/>
      <c r="CQ26" s="11"/>
      <c r="CS26" s="9"/>
      <c r="CT26" s="10"/>
      <c r="CU26" s="11"/>
      <c r="CW26" s="9"/>
      <c r="CX26" s="10"/>
      <c r="CY26" s="11"/>
      <c r="DA26" s="9"/>
      <c r="DB26" s="10"/>
      <c r="DC26" s="11"/>
      <c r="DE26" s="9"/>
      <c r="DF26" s="10"/>
      <c r="DG26" s="11"/>
      <c r="DI26" s="9"/>
      <c r="DJ26" s="10"/>
      <c r="DK26" s="11"/>
      <c r="DM26" s="9"/>
      <c r="DN26" s="10"/>
      <c r="DO26" s="11"/>
      <c r="DQ26" s="9"/>
      <c r="DR26" s="10"/>
      <c r="DS26" s="11"/>
      <c r="DU26" s="9"/>
      <c r="DV26" s="10"/>
      <c r="DW26" s="11"/>
      <c r="DY26" s="9"/>
      <c r="DZ26" s="10"/>
      <c r="EA26" s="11"/>
      <c r="EC26" s="9"/>
      <c r="ED26" s="10"/>
      <c r="EE26" s="11"/>
      <c r="EG26" s="9"/>
      <c r="EH26" s="10"/>
      <c r="EI26" s="11"/>
      <c r="EK26" s="9"/>
      <c r="EL26" s="10"/>
      <c r="EM26" s="11"/>
      <c r="EO26" s="9"/>
      <c r="EP26" s="10"/>
      <c r="EQ26" s="11"/>
      <c r="ES26" s="9"/>
      <c r="ET26" s="10"/>
      <c r="EU26" s="11"/>
      <c r="EW26" s="9"/>
      <c r="EX26" s="10"/>
      <c r="EY26" s="11"/>
      <c r="FA26" s="9"/>
      <c r="FB26" s="10"/>
      <c r="FC26" s="11"/>
      <c r="FE26" s="9"/>
      <c r="FF26" s="10"/>
      <c r="FG26" s="11"/>
      <c r="FI26" s="9"/>
      <c r="FJ26" s="10"/>
      <c r="FK26" s="11"/>
      <c r="FM26" s="9"/>
      <c r="FN26" s="10"/>
      <c r="FO26" s="11"/>
      <c r="FQ26" s="9"/>
      <c r="FR26" s="10"/>
      <c r="FS26" s="11"/>
      <c r="FU26" s="9"/>
      <c r="FV26" s="10"/>
      <c r="FW26" s="11"/>
      <c r="FY26" s="9"/>
      <c r="FZ26" s="10"/>
      <c r="GA26" s="11"/>
      <c r="GC26" s="9"/>
      <c r="GD26" s="10"/>
      <c r="GE26" s="11"/>
      <c r="GG26" s="9"/>
      <c r="GH26" s="10"/>
      <c r="GI26" s="11"/>
      <c r="GK26" s="9"/>
      <c r="GL26" s="10"/>
      <c r="GM26" s="11"/>
      <c r="GO26" s="9"/>
      <c r="GP26" s="10"/>
      <c r="GQ26" s="11"/>
      <c r="GS26" s="9"/>
      <c r="GT26" s="10"/>
      <c r="GU26" s="11"/>
    </row>
    <row r="27" spans="1:203">
      <c r="A27" s="9" t="s">
        <v>167</v>
      </c>
      <c r="B27" s="10">
        <f>SUM(B3:B25)</f>
        <v>175575</v>
      </c>
      <c r="C27" s="11">
        <f>SUM(C3:C25)</f>
        <v>19700</v>
      </c>
      <c r="E27" s="9"/>
      <c r="F27" s="10"/>
      <c r="G27" s="11"/>
      <c r="I27" s="9"/>
      <c r="J27" s="10"/>
      <c r="K27" s="11"/>
      <c r="M27" s="9"/>
      <c r="N27" s="10"/>
      <c r="O27" s="11"/>
      <c r="P27" s="12"/>
      <c r="Q27" s="9"/>
      <c r="R27" s="10"/>
      <c r="S27" s="11"/>
      <c r="U27" s="9"/>
      <c r="V27" s="10"/>
      <c r="W27" s="11"/>
      <c r="Y27" s="9"/>
      <c r="Z27" s="10"/>
      <c r="AA27" s="11"/>
      <c r="AC27" s="9"/>
      <c r="AD27" s="10"/>
      <c r="AE27" s="11"/>
      <c r="AG27" s="9"/>
      <c r="AH27" s="10"/>
      <c r="AI27" s="11"/>
      <c r="AK27" s="9"/>
      <c r="AL27" s="10"/>
      <c r="AM27" s="11"/>
      <c r="AO27" s="9"/>
      <c r="AP27" s="10"/>
      <c r="AQ27" s="11"/>
      <c r="AS27" s="9"/>
      <c r="AT27" s="10"/>
      <c r="AU27" s="11"/>
      <c r="AW27" s="9"/>
      <c r="AX27" s="10"/>
      <c r="AY27" s="11"/>
      <c r="BA27" s="9"/>
      <c r="BB27" s="10"/>
      <c r="BC27" s="11"/>
      <c r="BE27" s="9"/>
      <c r="BF27" s="10"/>
      <c r="BG27" s="11"/>
      <c r="BI27" s="9"/>
      <c r="BJ27" s="10"/>
      <c r="BK27" s="11"/>
      <c r="BM27" s="9"/>
      <c r="BN27" s="10"/>
      <c r="BO27" s="11"/>
      <c r="BQ27" s="9"/>
      <c r="BR27" s="10"/>
      <c r="BS27" s="11"/>
      <c r="BU27" s="9"/>
      <c r="BV27" s="10"/>
      <c r="BW27" s="11"/>
      <c r="BY27" s="9"/>
      <c r="BZ27" s="10"/>
      <c r="CA27" s="11"/>
      <c r="CC27" s="9"/>
      <c r="CD27" s="10"/>
      <c r="CE27" s="11"/>
      <c r="CG27" s="9"/>
      <c r="CH27" s="10"/>
      <c r="CI27" s="11"/>
      <c r="CK27" s="9"/>
      <c r="CL27" s="10"/>
      <c r="CM27" s="11"/>
      <c r="CO27" s="9"/>
      <c r="CP27" s="10"/>
      <c r="CQ27" s="11"/>
      <c r="CS27" s="9"/>
      <c r="CT27" s="10"/>
      <c r="CU27" s="11"/>
      <c r="CW27" s="9"/>
      <c r="CX27" s="10"/>
      <c r="CY27" s="11"/>
      <c r="DA27" s="9"/>
      <c r="DB27" s="10"/>
      <c r="DC27" s="11"/>
      <c r="DE27" s="9"/>
      <c r="DF27" s="10"/>
      <c r="DG27" s="11"/>
      <c r="DI27" s="9"/>
      <c r="DJ27" s="10"/>
      <c r="DK27" s="11"/>
      <c r="DM27" s="9"/>
      <c r="DN27" s="10"/>
      <c r="DO27" s="11"/>
      <c r="DQ27" s="9"/>
      <c r="DR27" s="10"/>
      <c r="DS27" s="11"/>
      <c r="DU27" s="9"/>
      <c r="DV27" s="10"/>
      <c r="DW27" s="11"/>
      <c r="DY27" s="9"/>
      <c r="DZ27" s="10"/>
      <c r="EA27" s="11"/>
      <c r="EC27" s="9"/>
      <c r="ED27" s="10"/>
      <c r="EE27" s="11"/>
      <c r="EG27" s="9"/>
      <c r="EH27" s="10"/>
      <c r="EI27" s="11"/>
      <c r="EK27" s="9"/>
      <c r="EL27" s="10"/>
      <c r="EM27" s="11"/>
      <c r="EO27" s="9"/>
      <c r="EP27" s="10"/>
      <c r="EQ27" s="11"/>
      <c r="ES27" s="9"/>
      <c r="ET27" s="10"/>
      <c r="EU27" s="11"/>
      <c r="EW27" s="9"/>
      <c r="EX27" s="10"/>
      <c r="EY27" s="11"/>
      <c r="FA27" s="9"/>
      <c r="FB27" s="10"/>
      <c r="FC27" s="11"/>
      <c r="FE27" s="9"/>
      <c r="FF27" s="10"/>
      <c r="FG27" s="11"/>
      <c r="FI27" s="9"/>
      <c r="FJ27" s="10"/>
      <c r="FK27" s="11"/>
      <c r="FM27" s="9"/>
      <c r="FN27" s="10"/>
      <c r="FO27" s="11"/>
      <c r="FQ27" s="9"/>
      <c r="FR27" s="10"/>
      <c r="FS27" s="11"/>
      <c r="FU27" s="9"/>
      <c r="FV27" s="10"/>
      <c r="FW27" s="11"/>
      <c r="FY27" s="9"/>
      <c r="FZ27" s="10"/>
      <c r="GA27" s="11"/>
      <c r="GC27" s="9"/>
      <c r="GD27" s="10"/>
      <c r="GE27" s="11"/>
      <c r="GG27" s="9"/>
      <c r="GH27" s="10"/>
      <c r="GI27" s="11"/>
      <c r="GK27" s="9"/>
      <c r="GL27" s="10"/>
      <c r="GM27" s="11"/>
      <c r="GO27" s="9"/>
      <c r="GP27" s="10"/>
      <c r="GQ27" s="11"/>
      <c r="GS27" s="9"/>
      <c r="GT27" s="10"/>
      <c r="GU27" s="11"/>
    </row>
    <row r="28" spans="1:203">
      <c r="A28" s="9"/>
      <c r="B28" s="10"/>
      <c r="C28" s="11"/>
      <c r="E28" s="9"/>
      <c r="F28" s="10"/>
      <c r="G28" s="11"/>
      <c r="I28" s="9"/>
      <c r="J28" s="10"/>
      <c r="K28" s="11"/>
      <c r="M28" s="9"/>
      <c r="N28" s="10"/>
      <c r="O28" s="11"/>
      <c r="P28" s="12"/>
      <c r="Q28" s="9"/>
      <c r="R28" s="10"/>
      <c r="S28" s="11"/>
      <c r="U28" s="9"/>
      <c r="V28" s="10"/>
      <c r="W28" s="11"/>
      <c r="Y28" s="9"/>
      <c r="Z28" s="10"/>
      <c r="AA28" s="11"/>
      <c r="AC28" s="9"/>
      <c r="AD28" s="10"/>
      <c r="AE28" s="11"/>
      <c r="AG28" s="9"/>
      <c r="AH28" s="10"/>
      <c r="AI28" s="11"/>
      <c r="AK28" s="9"/>
      <c r="AL28" s="10"/>
      <c r="AM28" s="11"/>
      <c r="AO28" s="9"/>
      <c r="AP28" s="10"/>
      <c r="AQ28" s="11"/>
      <c r="AS28" s="9"/>
      <c r="AT28" s="10"/>
      <c r="AU28" s="11"/>
      <c r="AW28" s="9"/>
      <c r="AX28" s="10"/>
      <c r="AY28" s="11"/>
      <c r="BA28" s="9"/>
      <c r="BB28" s="10"/>
      <c r="BC28" s="11"/>
      <c r="BE28" s="9"/>
      <c r="BF28" s="10"/>
      <c r="BG28" s="11"/>
      <c r="BI28" s="9"/>
      <c r="BJ28" s="10"/>
      <c r="BK28" s="11"/>
      <c r="BM28" s="9"/>
      <c r="BN28" s="10"/>
      <c r="BO28" s="11"/>
      <c r="BQ28" s="9"/>
      <c r="BR28" s="10"/>
      <c r="BS28" s="11"/>
      <c r="BU28" s="9"/>
      <c r="BV28" s="10"/>
      <c r="BW28" s="11"/>
      <c r="BY28" s="9"/>
      <c r="BZ28" s="10"/>
      <c r="CA28" s="11"/>
      <c r="CC28" s="9"/>
      <c r="CD28" s="10"/>
      <c r="CE28" s="11"/>
      <c r="CG28" s="9"/>
      <c r="CH28" s="10"/>
      <c r="CI28" s="11"/>
      <c r="CK28" s="9"/>
      <c r="CL28" s="10"/>
      <c r="CM28" s="11"/>
      <c r="CO28" s="9"/>
      <c r="CP28" s="10"/>
      <c r="CQ28" s="11"/>
      <c r="CS28" s="9"/>
      <c r="CT28" s="10"/>
      <c r="CU28" s="11"/>
      <c r="CW28" s="9"/>
      <c r="CX28" s="10"/>
      <c r="CY28" s="11"/>
      <c r="DA28" s="9"/>
      <c r="DB28" s="10"/>
      <c r="DC28" s="11"/>
      <c r="DE28" s="9"/>
      <c r="DF28" s="10"/>
      <c r="DG28" s="11"/>
      <c r="DI28" s="9"/>
      <c r="DJ28" s="10"/>
      <c r="DK28" s="11"/>
      <c r="DM28" s="9"/>
      <c r="DN28" s="10"/>
      <c r="DO28" s="11"/>
      <c r="DQ28" s="9"/>
      <c r="DR28" s="10"/>
      <c r="DS28" s="11"/>
      <c r="DU28" s="9"/>
      <c r="DV28" s="10"/>
      <c r="DW28" s="11"/>
      <c r="DY28" s="9"/>
      <c r="DZ28" s="10"/>
      <c r="EA28" s="11"/>
      <c r="EC28" s="9"/>
      <c r="ED28" s="10"/>
      <c r="EE28" s="11"/>
      <c r="EG28" s="9"/>
      <c r="EH28" s="10"/>
      <c r="EI28" s="11"/>
      <c r="EK28" s="9"/>
      <c r="EL28" s="10"/>
      <c r="EM28" s="11"/>
      <c r="EO28" s="9"/>
      <c r="EP28" s="10"/>
      <c r="EQ28" s="11"/>
      <c r="ES28" s="9"/>
      <c r="ET28" s="10"/>
      <c r="EU28" s="11"/>
      <c r="EW28" s="9"/>
      <c r="EX28" s="10"/>
      <c r="EY28" s="11"/>
      <c r="FA28" s="9"/>
      <c r="FB28" s="10"/>
      <c r="FC28" s="11"/>
      <c r="FE28" s="9"/>
      <c r="FF28" s="10"/>
      <c r="FG28" s="11"/>
      <c r="FI28" s="9"/>
      <c r="FJ28" s="10"/>
      <c r="FK28" s="11"/>
      <c r="FM28" s="9"/>
      <c r="FN28" s="10"/>
      <c r="FO28" s="11"/>
      <c r="FQ28" s="9"/>
      <c r="FR28" s="10"/>
      <c r="FS28" s="11"/>
      <c r="FU28" s="9"/>
      <c r="FV28" s="10"/>
      <c r="FW28" s="11"/>
      <c r="FY28" s="9"/>
      <c r="FZ28" s="10"/>
      <c r="GA28" s="11"/>
      <c r="GC28" s="9"/>
      <c r="GD28" s="10"/>
      <c r="GE28" s="11"/>
      <c r="GG28" s="9"/>
      <c r="GH28" s="10"/>
      <c r="GI28" s="11"/>
      <c r="GK28" s="9"/>
      <c r="GL28" s="10"/>
      <c r="GM28" s="11"/>
      <c r="GO28" s="9"/>
      <c r="GP28" s="10"/>
      <c r="GQ28" s="11"/>
      <c r="GS28" s="9"/>
      <c r="GT28" s="10"/>
      <c r="GU28" s="11"/>
    </row>
    <row r="29" spans="1:203">
      <c r="A29" s="9"/>
      <c r="B29" s="10"/>
      <c r="C29" s="11"/>
      <c r="E29" s="9"/>
      <c r="F29" s="10"/>
      <c r="G29" s="11"/>
      <c r="I29" s="9"/>
      <c r="J29" s="10"/>
      <c r="K29" s="11"/>
      <c r="M29" s="9"/>
      <c r="N29" s="10"/>
      <c r="O29" s="11"/>
      <c r="P29" s="12"/>
      <c r="Q29" s="9"/>
      <c r="R29" s="10"/>
      <c r="S29" s="11"/>
      <c r="U29" s="9"/>
      <c r="V29" s="10"/>
      <c r="W29" s="11"/>
      <c r="Y29" s="9"/>
      <c r="Z29" s="10"/>
      <c r="AA29" s="11"/>
      <c r="AC29" s="9"/>
      <c r="AD29" s="10"/>
      <c r="AE29" s="11"/>
      <c r="AG29" s="9"/>
      <c r="AH29" s="10"/>
      <c r="AI29" s="11"/>
      <c r="AK29" s="9"/>
      <c r="AL29" s="10"/>
      <c r="AM29" s="11"/>
      <c r="AO29" s="9"/>
      <c r="AP29" s="10"/>
      <c r="AQ29" s="11"/>
      <c r="AS29" s="9"/>
      <c r="AT29" s="10"/>
      <c r="AU29" s="11"/>
      <c r="AW29" s="9"/>
      <c r="AX29" s="10"/>
      <c r="AY29" s="11"/>
      <c r="BA29" s="9"/>
      <c r="BB29" s="10"/>
      <c r="BC29" s="11"/>
      <c r="BE29" s="9"/>
      <c r="BF29" s="10"/>
      <c r="BG29" s="11"/>
      <c r="BI29" s="9"/>
      <c r="BJ29" s="10"/>
      <c r="BK29" s="11"/>
      <c r="BM29" s="9"/>
      <c r="BN29" s="10"/>
      <c r="BO29" s="11"/>
      <c r="BQ29" s="9"/>
      <c r="BR29" s="10"/>
      <c r="BS29" s="11"/>
      <c r="BU29" s="9"/>
      <c r="BV29" s="10"/>
      <c r="BW29" s="11"/>
      <c r="BY29" s="9"/>
      <c r="BZ29" s="10"/>
      <c r="CA29" s="11"/>
      <c r="CC29" s="9"/>
      <c r="CD29" s="10"/>
      <c r="CE29" s="11"/>
      <c r="CG29" s="9"/>
      <c r="CH29" s="10"/>
      <c r="CI29" s="11"/>
      <c r="CK29" s="9"/>
      <c r="CL29" s="10"/>
      <c r="CM29" s="11"/>
      <c r="CO29" s="9"/>
      <c r="CP29" s="10"/>
      <c r="CQ29" s="11"/>
      <c r="CS29" s="9"/>
      <c r="CT29" s="10"/>
      <c r="CU29" s="11"/>
      <c r="CW29" s="9"/>
      <c r="CX29" s="10"/>
      <c r="CY29" s="11"/>
      <c r="DA29" s="9"/>
      <c r="DB29" s="10"/>
      <c r="DC29" s="11"/>
      <c r="DE29" s="9"/>
      <c r="DF29" s="10"/>
      <c r="DG29" s="11"/>
      <c r="DI29" s="9"/>
      <c r="DJ29" s="10"/>
      <c r="DK29" s="11"/>
      <c r="DM29" s="9"/>
      <c r="DN29" s="10"/>
      <c r="DO29" s="11"/>
      <c r="DQ29" s="9"/>
      <c r="DR29" s="10"/>
      <c r="DS29" s="11"/>
      <c r="DU29" s="9"/>
      <c r="DV29" s="10"/>
      <c r="DW29" s="11"/>
      <c r="DY29" s="9"/>
      <c r="DZ29" s="10"/>
      <c r="EA29" s="11"/>
      <c r="EC29" s="9"/>
      <c r="ED29" s="10"/>
      <c r="EE29" s="11"/>
      <c r="EG29" s="9"/>
      <c r="EH29" s="10"/>
      <c r="EI29" s="11"/>
      <c r="EK29" s="9"/>
      <c r="EL29" s="10"/>
      <c r="EM29" s="11"/>
      <c r="EO29" s="9"/>
      <c r="EP29" s="10"/>
      <c r="EQ29" s="11"/>
      <c r="ES29" s="9"/>
      <c r="ET29" s="10"/>
      <c r="EU29" s="11"/>
      <c r="EW29" s="9"/>
      <c r="EX29" s="10"/>
      <c r="EY29" s="11"/>
      <c r="FA29" s="9"/>
      <c r="FB29" s="10"/>
      <c r="FC29" s="11"/>
      <c r="FE29" s="9"/>
      <c r="FF29" s="10"/>
      <c r="FG29" s="11"/>
      <c r="FI29" s="9"/>
      <c r="FJ29" s="10"/>
      <c r="FK29" s="11"/>
      <c r="FM29" s="9"/>
      <c r="FN29" s="10"/>
      <c r="FO29" s="11"/>
      <c r="FQ29" s="9"/>
      <c r="FR29" s="10"/>
      <c r="FS29" s="11"/>
      <c r="FU29" s="9"/>
      <c r="FV29" s="10"/>
      <c r="FW29" s="11"/>
      <c r="FY29" s="9"/>
      <c r="FZ29" s="10"/>
      <c r="GA29" s="11"/>
      <c r="GC29" s="9"/>
      <c r="GD29" s="10"/>
      <c r="GE29" s="11"/>
      <c r="GG29" s="9"/>
      <c r="GH29" s="10"/>
      <c r="GI29" s="11"/>
      <c r="GK29" s="9"/>
      <c r="GL29" s="10"/>
      <c r="GM29" s="11"/>
      <c r="GO29" s="9"/>
      <c r="GP29" s="10"/>
      <c r="GQ29" s="11"/>
      <c r="GS29" s="9"/>
      <c r="GT29" s="10"/>
      <c r="GU29" s="11"/>
    </row>
    <row r="30" spans="1:203">
      <c r="A30" s="75" t="s">
        <v>169</v>
      </c>
      <c r="B30" s="76">
        <f>SUM(B27-C27)</f>
        <v>155875</v>
      </c>
      <c r="C30" s="11"/>
      <c r="E30" s="75" t="s">
        <v>127</v>
      </c>
      <c r="F30" s="76">
        <v>0</v>
      </c>
      <c r="G30" s="11"/>
      <c r="I30" s="75" t="s">
        <v>127</v>
      </c>
      <c r="J30" s="10"/>
      <c r="K30" s="81">
        <v>0</v>
      </c>
      <c r="M30" s="75" t="s">
        <v>127</v>
      </c>
      <c r="N30" s="76"/>
      <c r="O30" s="81">
        <f>SUM(O3:O6)</f>
        <v>14700</v>
      </c>
      <c r="P30" s="12"/>
      <c r="Q30" s="75" t="s">
        <v>127</v>
      </c>
      <c r="R30" s="76"/>
      <c r="S30" s="81">
        <f>SUM(S3:S6)</f>
        <v>14000</v>
      </c>
      <c r="U30" s="75" t="s">
        <v>127</v>
      </c>
      <c r="V30" s="76"/>
      <c r="W30" s="128">
        <f>SUM(W3:W6)</f>
        <v>1100</v>
      </c>
      <c r="Y30" s="75" t="s">
        <v>127</v>
      </c>
      <c r="Z30" s="76"/>
      <c r="AA30" s="81">
        <f>SUM(AA3:AA6)</f>
        <v>100</v>
      </c>
      <c r="AC30" s="75" t="s">
        <v>127</v>
      </c>
      <c r="AD30" s="76"/>
      <c r="AE30" s="81">
        <f>SUM(AE3:AE6)</f>
        <v>350</v>
      </c>
      <c r="AG30" s="119" t="s">
        <v>127</v>
      </c>
      <c r="AH30" s="76">
        <v>5700</v>
      </c>
      <c r="AI30" s="11"/>
      <c r="AK30" s="75" t="s">
        <v>127</v>
      </c>
      <c r="AL30" s="76">
        <f>SUM(AL3:AL5)</f>
        <v>13700</v>
      </c>
      <c r="AM30" s="11"/>
      <c r="AO30" s="75" t="s">
        <v>127</v>
      </c>
      <c r="AP30" s="10"/>
      <c r="AQ30" s="81">
        <v>16200</v>
      </c>
      <c r="AS30" s="75" t="s">
        <v>127</v>
      </c>
      <c r="AT30" s="10"/>
      <c r="AU30" s="81">
        <v>300</v>
      </c>
      <c r="AW30" s="75" t="s">
        <v>127</v>
      </c>
      <c r="AX30" s="10"/>
      <c r="AY30" s="81">
        <v>15000</v>
      </c>
      <c r="BA30" s="75" t="s">
        <v>127</v>
      </c>
      <c r="BB30" s="76">
        <v>0</v>
      </c>
      <c r="BC30" s="11"/>
      <c r="BE30" s="75" t="s">
        <v>127</v>
      </c>
      <c r="BF30" s="10"/>
      <c r="BG30" s="81">
        <v>0</v>
      </c>
      <c r="BI30" s="75" t="s">
        <v>127</v>
      </c>
      <c r="BJ30" s="76">
        <f>BJ3-SUM(BK5:BK7)</f>
        <v>455</v>
      </c>
      <c r="BK30" s="11"/>
      <c r="BM30" s="75" t="s">
        <v>127</v>
      </c>
      <c r="BN30" s="76">
        <v>1555</v>
      </c>
      <c r="BO30" s="11"/>
      <c r="BQ30" s="75" t="s">
        <v>127</v>
      </c>
      <c r="BR30" s="76">
        <v>515</v>
      </c>
      <c r="BS30" s="11"/>
      <c r="BU30" s="75" t="s">
        <v>127</v>
      </c>
      <c r="BV30" s="76">
        <v>300</v>
      </c>
      <c r="BW30" s="11"/>
      <c r="BY30" s="75" t="s">
        <v>127</v>
      </c>
      <c r="BZ30" s="10"/>
      <c r="CA30" s="81">
        <f>SUM(CA3:CA6)</f>
        <v>100</v>
      </c>
      <c r="CC30" s="75" t="s">
        <v>127</v>
      </c>
      <c r="CD30" s="10"/>
      <c r="CE30" s="81">
        <f>SUM(CE3:CE6)</f>
        <v>350</v>
      </c>
      <c r="CG30" s="75" t="s">
        <v>127</v>
      </c>
      <c r="CH30" s="76">
        <v>500</v>
      </c>
      <c r="CI30" s="11"/>
      <c r="CK30" s="75" t="s">
        <v>127</v>
      </c>
      <c r="CL30" s="10"/>
      <c r="CM30" s="81">
        <f>SUM(CM3:CM4)</f>
        <v>1000</v>
      </c>
      <c r="CO30" s="9"/>
      <c r="CP30" s="10"/>
      <c r="CQ30" s="11"/>
      <c r="CS30" s="9"/>
      <c r="CT30" s="10"/>
      <c r="CU30" s="11"/>
      <c r="CW30" s="9"/>
      <c r="CX30" s="10"/>
      <c r="CY30" s="11"/>
      <c r="DA30" s="9"/>
      <c r="DB30" s="10"/>
      <c r="DC30" s="11"/>
      <c r="DE30" s="9"/>
      <c r="DF30" s="10"/>
      <c r="DG30" s="11"/>
      <c r="DI30" s="9"/>
      <c r="DJ30" s="10"/>
      <c r="DK30" s="11"/>
      <c r="DM30" s="9"/>
      <c r="DN30" s="10"/>
      <c r="DO30" s="11"/>
      <c r="DQ30" s="9"/>
      <c r="DR30" s="10"/>
      <c r="DS30" s="11"/>
      <c r="DU30" s="9"/>
      <c r="DV30" s="10"/>
      <c r="DW30" s="11"/>
      <c r="DY30" s="9"/>
      <c r="DZ30" s="10"/>
      <c r="EA30" s="11"/>
      <c r="EC30" s="9"/>
      <c r="ED30" s="10"/>
      <c r="EE30" s="11"/>
      <c r="EG30" s="9"/>
      <c r="EH30" s="10"/>
      <c r="EI30" s="11"/>
      <c r="EK30" s="9"/>
      <c r="EL30" s="10"/>
      <c r="EM30" s="11"/>
      <c r="EO30" s="9"/>
      <c r="EP30" s="10"/>
      <c r="EQ30" s="11"/>
      <c r="ES30" s="9"/>
      <c r="ET30" s="10"/>
      <c r="EU30" s="11"/>
      <c r="EW30" s="9"/>
      <c r="EX30" s="10"/>
      <c r="EY30" s="11"/>
      <c r="FA30" s="9"/>
      <c r="FB30" s="10"/>
      <c r="FC30" s="11"/>
      <c r="FE30" s="9"/>
      <c r="FF30" s="10"/>
      <c r="FG30" s="11"/>
      <c r="FI30" s="9"/>
      <c r="FJ30" s="10"/>
      <c r="FK30" s="11"/>
      <c r="FM30" s="9"/>
      <c r="FN30" s="10"/>
      <c r="FO30" s="11"/>
      <c r="FQ30" s="9"/>
      <c r="FR30" s="10"/>
      <c r="FS30" s="11"/>
      <c r="FU30" s="9"/>
      <c r="FV30" s="10"/>
      <c r="FW30" s="11"/>
      <c r="FY30" s="9"/>
      <c r="FZ30" s="10"/>
      <c r="GA30" s="11"/>
      <c r="GC30" s="9"/>
      <c r="GD30" s="10"/>
      <c r="GE30" s="11"/>
      <c r="GG30" s="9"/>
      <c r="GH30" s="10"/>
      <c r="GI30" s="11"/>
      <c r="GK30" s="9"/>
      <c r="GL30" s="10"/>
      <c r="GM30" s="11"/>
      <c r="GO30" s="9"/>
      <c r="GP30" s="10"/>
      <c r="GQ30" s="11"/>
      <c r="GS30" s="9"/>
      <c r="GT30" s="10"/>
      <c r="GU30" s="11"/>
    </row>
    <row r="31" spans="1:203">
      <c r="A31" s="9"/>
      <c r="B31" s="10"/>
      <c r="C31" s="11"/>
      <c r="E31" s="9"/>
      <c r="F31" s="10"/>
      <c r="G31" s="11"/>
      <c r="I31" s="9"/>
      <c r="J31" s="10"/>
      <c r="K31" s="11"/>
      <c r="M31" s="9"/>
      <c r="N31" s="10"/>
      <c r="O31" s="11"/>
      <c r="P31" s="12"/>
      <c r="Q31" s="9"/>
      <c r="R31" s="10"/>
      <c r="S31" s="11"/>
      <c r="U31" s="9"/>
      <c r="V31" s="10"/>
      <c r="W31" s="81"/>
      <c r="Y31" s="9"/>
      <c r="Z31" s="10"/>
      <c r="AA31" s="11"/>
      <c r="AC31" s="9"/>
      <c r="AD31" s="10"/>
      <c r="AE31" s="11"/>
      <c r="AG31" s="9"/>
      <c r="AH31" s="10"/>
      <c r="AI31" s="11"/>
      <c r="AK31" s="9"/>
      <c r="AL31" s="10"/>
      <c r="AM31" s="11"/>
      <c r="AO31" s="9"/>
      <c r="AP31" s="10"/>
      <c r="AQ31" s="11"/>
      <c r="AS31" s="9"/>
      <c r="AT31" s="10"/>
      <c r="AU31" s="11"/>
      <c r="AW31" s="9"/>
      <c r="AX31" s="10"/>
      <c r="AY31" s="11"/>
      <c r="BA31" s="9"/>
      <c r="BB31" s="10"/>
      <c r="BC31" s="11"/>
      <c r="BE31" s="9"/>
      <c r="BF31" s="10"/>
      <c r="BG31" s="11"/>
      <c r="BI31" s="9"/>
      <c r="BJ31" s="10"/>
      <c r="BK31" s="11"/>
      <c r="BM31" s="9"/>
      <c r="BN31" s="10"/>
      <c r="BO31" s="11"/>
      <c r="BQ31" s="9"/>
      <c r="BR31" s="10"/>
      <c r="BS31" s="11"/>
      <c r="BU31" s="9"/>
      <c r="BV31" s="10"/>
      <c r="BW31" s="11"/>
      <c r="BY31" s="9"/>
      <c r="BZ31" s="10"/>
      <c r="CA31" s="11"/>
      <c r="CC31" s="9"/>
      <c r="CD31" s="10"/>
      <c r="CE31" s="11"/>
      <c r="CG31" s="9"/>
      <c r="CH31" s="10"/>
      <c r="CI31" s="11"/>
      <c r="CK31" s="9"/>
      <c r="CL31" s="10"/>
      <c r="CM31" s="11"/>
      <c r="CO31" s="9"/>
      <c r="CP31" s="10"/>
      <c r="CQ31" s="11"/>
      <c r="CS31" s="9"/>
      <c r="CT31" s="10"/>
      <c r="CU31" s="11"/>
      <c r="CW31" s="9"/>
      <c r="CX31" s="10"/>
      <c r="CY31" s="11"/>
      <c r="DA31" s="9"/>
      <c r="DB31" s="10"/>
      <c r="DC31" s="11"/>
      <c r="DE31" s="9"/>
      <c r="DF31" s="10"/>
      <c r="DG31" s="11"/>
      <c r="DI31" s="9"/>
      <c r="DJ31" s="10"/>
      <c r="DK31" s="11"/>
      <c r="DM31" s="9"/>
      <c r="DN31" s="10"/>
      <c r="DO31" s="11"/>
      <c r="DQ31" s="9"/>
      <c r="DR31" s="10"/>
      <c r="DS31" s="11"/>
      <c r="DU31" s="9"/>
      <c r="DV31" s="10"/>
      <c r="DW31" s="11"/>
      <c r="DY31" s="9"/>
      <c r="DZ31" s="10"/>
      <c r="EA31" s="11"/>
      <c r="EC31" s="9"/>
      <c r="ED31" s="10"/>
      <c r="EE31" s="11"/>
      <c r="EG31" s="9"/>
      <c r="EH31" s="10"/>
      <c r="EI31" s="11"/>
      <c r="EK31" s="9"/>
      <c r="EL31" s="10"/>
      <c r="EM31" s="11"/>
      <c r="EO31" s="9"/>
      <c r="EP31" s="10"/>
      <c r="EQ31" s="11"/>
      <c r="ES31" s="9"/>
      <c r="ET31" s="10"/>
      <c r="EU31" s="11"/>
      <c r="EW31" s="9"/>
      <c r="EX31" s="10"/>
      <c r="EY31" s="11"/>
      <c r="FA31" s="9"/>
      <c r="FB31" s="10"/>
      <c r="FC31" s="11"/>
      <c r="FE31" s="9"/>
      <c r="FF31" s="10"/>
      <c r="FG31" s="11"/>
      <c r="FI31" s="9"/>
      <c r="FJ31" s="10"/>
      <c r="FK31" s="11"/>
      <c r="FM31" s="9"/>
      <c r="FN31" s="10"/>
      <c r="FO31" s="11"/>
      <c r="FQ31" s="9"/>
      <c r="FR31" s="10"/>
      <c r="FS31" s="11"/>
      <c r="FU31" s="9"/>
      <c r="FV31" s="10"/>
      <c r="FW31" s="11"/>
      <c r="FY31" s="9"/>
      <c r="FZ31" s="10"/>
      <c r="GA31" s="11"/>
      <c r="GC31" s="9"/>
      <c r="GD31" s="10"/>
      <c r="GE31" s="11"/>
      <c r="GG31" s="9"/>
      <c r="GH31" s="10"/>
      <c r="GI31" s="11"/>
      <c r="GK31" s="9"/>
      <c r="GL31" s="10"/>
      <c r="GM31" s="11"/>
      <c r="GO31" s="9"/>
      <c r="GP31" s="10"/>
      <c r="GQ31" s="11"/>
      <c r="GS31" s="9"/>
      <c r="GT31" s="10"/>
      <c r="GU31" s="11"/>
    </row>
    <row r="32" spans="1:203">
      <c r="A32" s="9"/>
      <c r="B32" s="10"/>
      <c r="C32" s="11"/>
      <c r="E32" s="9"/>
      <c r="F32" s="10"/>
      <c r="G32" s="11"/>
      <c r="I32" s="9"/>
      <c r="J32" s="10"/>
      <c r="K32" s="11"/>
      <c r="M32" s="9"/>
      <c r="N32" s="10"/>
      <c r="O32" s="11"/>
      <c r="P32" s="12"/>
      <c r="Q32" s="9"/>
      <c r="R32" s="10"/>
      <c r="S32" s="11"/>
      <c r="U32" s="9"/>
      <c r="V32" s="10"/>
      <c r="W32" s="11"/>
      <c r="Y32" s="9"/>
      <c r="Z32" s="10"/>
      <c r="AA32" s="11"/>
      <c r="AC32" s="9"/>
      <c r="AD32" s="10"/>
      <c r="AE32" s="11"/>
      <c r="AG32" s="9"/>
      <c r="AH32" s="10"/>
      <c r="AI32" s="11"/>
      <c r="AK32" s="9"/>
      <c r="AL32" s="10"/>
      <c r="AM32" s="11"/>
      <c r="AO32" s="9"/>
      <c r="AP32" s="10"/>
      <c r="AQ32" s="11"/>
      <c r="AS32" s="9"/>
      <c r="AT32" s="10"/>
      <c r="AU32" s="11"/>
      <c r="AW32" s="9"/>
      <c r="AX32" s="10"/>
      <c r="AY32" s="11"/>
      <c r="BA32" s="9"/>
      <c r="BB32" s="10"/>
      <c r="BC32" s="11"/>
      <c r="BE32" s="9"/>
      <c r="BF32" s="10"/>
      <c r="BG32" s="11"/>
      <c r="BI32" s="9"/>
      <c r="BJ32" s="10"/>
      <c r="BK32" s="11"/>
      <c r="BM32" s="9"/>
      <c r="BN32" s="10"/>
      <c r="BO32" s="11"/>
      <c r="BQ32" s="9"/>
      <c r="BR32" s="10"/>
      <c r="BS32" s="11"/>
      <c r="BU32" s="9"/>
      <c r="BV32" s="10"/>
      <c r="BW32" s="11"/>
      <c r="BY32" s="9"/>
      <c r="BZ32" s="10"/>
      <c r="CA32" s="11"/>
      <c r="CC32" s="9"/>
      <c r="CD32" s="10"/>
      <c r="CE32" s="11"/>
      <c r="CG32" s="9"/>
      <c r="CH32" s="10"/>
      <c r="CI32" s="11"/>
      <c r="CK32" s="9"/>
      <c r="CL32" s="10"/>
      <c r="CM32" s="11"/>
      <c r="CO32" s="9"/>
      <c r="CP32" s="10"/>
      <c r="CQ32" s="11"/>
      <c r="CS32" s="9"/>
      <c r="CT32" s="10"/>
      <c r="CU32" s="11"/>
      <c r="CW32" s="9"/>
      <c r="CX32" s="10"/>
      <c r="CY32" s="11"/>
      <c r="DA32" s="9"/>
      <c r="DB32" s="10"/>
      <c r="DC32" s="11"/>
      <c r="DE32" s="9"/>
      <c r="DF32" s="10"/>
      <c r="DG32" s="11"/>
      <c r="DI32" s="9"/>
      <c r="DJ32" s="10"/>
      <c r="DK32" s="11"/>
      <c r="DM32" s="9"/>
      <c r="DN32" s="10"/>
      <c r="DO32" s="11"/>
      <c r="DQ32" s="9"/>
      <c r="DR32" s="10"/>
      <c r="DS32" s="11"/>
      <c r="DU32" s="9"/>
      <c r="DV32" s="10"/>
      <c r="DW32" s="11"/>
      <c r="DY32" s="9"/>
      <c r="DZ32" s="10"/>
      <c r="EA32" s="11"/>
      <c r="EC32" s="9"/>
      <c r="ED32" s="10"/>
      <c r="EE32" s="11"/>
      <c r="EG32" s="9"/>
      <c r="EH32" s="10"/>
      <c r="EI32" s="11"/>
      <c r="EK32" s="9"/>
      <c r="EL32" s="10"/>
      <c r="EM32" s="11"/>
      <c r="EO32" s="9"/>
      <c r="EP32" s="10"/>
      <c r="EQ32" s="11"/>
      <c r="ES32" s="9"/>
      <c r="ET32" s="10"/>
      <c r="EU32" s="11"/>
      <c r="EW32" s="9"/>
      <c r="EX32" s="10"/>
      <c r="EY32" s="11"/>
      <c r="FA32" s="9"/>
      <c r="FB32" s="10"/>
      <c r="FC32" s="11"/>
      <c r="FE32" s="9"/>
      <c r="FF32" s="10"/>
      <c r="FG32" s="11"/>
      <c r="FI32" s="9"/>
      <c r="FJ32" s="10"/>
      <c r="FK32" s="11"/>
      <c r="FM32" s="9"/>
      <c r="FN32" s="10"/>
      <c r="FO32" s="11"/>
      <c r="FQ32" s="9"/>
      <c r="FR32" s="10"/>
      <c r="FS32" s="11"/>
      <c r="FU32" s="9"/>
      <c r="FV32" s="10"/>
      <c r="FW32" s="11"/>
      <c r="FY32" s="9"/>
      <c r="FZ32" s="10"/>
      <c r="GA32" s="11"/>
      <c r="GC32" s="9"/>
      <c r="GD32" s="10"/>
      <c r="GE32" s="11"/>
      <c r="GG32" s="9"/>
      <c r="GH32" s="10"/>
      <c r="GI32" s="11"/>
      <c r="GK32" s="9"/>
      <c r="GL32" s="10"/>
      <c r="GM32" s="11"/>
      <c r="GO32" s="9"/>
      <c r="GP32" s="10"/>
      <c r="GQ32" s="11"/>
      <c r="GS32" s="9"/>
      <c r="GT32" s="10"/>
      <c r="GU32" s="11"/>
    </row>
    <row r="33" spans="1:203">
      <c r="A33" s="9"/>
      <c r="B33" s="10"/>
      <c r="C33" s="11"/>
      <c r="E33" s="9"/>
      <c r="F33" s="10"/>
      <c r="G33" s="11"/>
      <c r="I33" s="9"/>
      <c r="J33" s="10"/>
      <c r="K33" s="11"/>
      <c r="M33" s="9"/>
      <c r="N33" s="10"/>
      <c r="O33" s="11"/>
      <c r="P33" s="12"/>
      <c r="Q33" s="9"/>
      <c r="R33" s="10"/>
      <c r="S33" s="11"/>
      <c r="U33" s="9"/>
      <c r="V33" s="10"/>
      <c r="W33" s="11"/>
      <c r="Y33" s="9"/>
      <c r="Z33" s="10"/>
      <c r="AA33" s="11"/>
      <c r="AC33" s="9"/>
      <c r="AD33" s="10"/>
      <c r="AE33" s="11"/>
      <c r="AG33" s="9"/>
      <c r="AH33" s="10"/>
      <c r="AI33" s="11"/>
      <c r="AK33" s="9"/>
      <c r="AL33" s="10"/>
      <c r="AM33" s="11"/>
      <c r="AO33" s="9"/>
      <c r="AP33" s="10"/>
      <c r="AQ33" s="11"/>
      <c r="AS33" s="9"/>
      <c r="AT33" s="10"/>
      <c r="AU33" s="11"/>
      <c r="AW33" s="9"/>
      <c r="AX33" s="10"/>
      <c r="AY33" s="11"/>
      <c r="BA33" s="9"/>
      <c r="BB33" s="10"/>
      <c r="BC33" s="11"/>
      <c r="BE33" s="9"/>
      <c r="BF33" s="10"/>
      <c r="BG33" s="11"/>
      <c r="BI33" s="9"/>
      <c r="BJ33" s="10"/>
      <c r="BK33" s="11"/>
      <c r="BM33" s="9"/>
      <c r="BN33" s="10"/>
      <c r="BO33" s="11"/>
      <c r="BQ33" s="9"/>
      <c r="BR33" s="10"/>
      <c r="BS33" s="11"/>
      <c r="BU33" s="9"/>
      <c r="BV33" s="10"/>
      <c r="BW33" s="11"/>
      <c r="BY33" s="9"/>
      <c r="BZ33" s="10"/>
      <c r="CA33" s="11"/>
      <c r="CC33" s="9"/>
      <c r="CD33" s="10"/>
      <c r="CE33" s="11"/>
      <c r="CG33" s="9"/>
      <c r="CH33" s="10"/>
      <c r="CI33" s="11"/>
      <c r="CK33" s="9"/>
      <c r="CL33" s="10"/>
      <c r="CM33" s="11"/>
      <c r="CO33" s="9"/>
      <c r="CP33" s="10"/>
      <c r="CQ33" s="11"/>
      <c r="CS33" s="9"/>
      <c r="CT33" s="10"/>
      <c r="CU33" s="11"/>
      <c r="CW33" s="9"/>
      <c r="CX33" s="10"/>
      <c r="CY33" s="11"/>
      <c r="DA33" s="9"/>
      <c r="DB33" s="10"/>
      <c r="DC33" s="11"/>
      <c r="DE33" s="9"/>
      <c r="DF33" s="10"/>
      <c r="DG33" s="11"/>
      <c r="DI33" s="9"/>
      <c r="DJ33" s="10"/>
      <c r="DK33" s="11"/>
      <c r="DM33" s="9"/>
      <c r="DN33" s="10"/>
      <c r="DO33" s="11"/>
      <c r="DQ33" s="9"/>
      <c r="DR33" s="10"/>
      <c r="DS33" s="11"/>
      <c r="DU33" s="9"/>
      <c r="DV33" s="10"/>
      <c r="DW33" s="11"/>
      <c r="DY33" s="9"/>
      <c r="DZ33" s="10"/>
      <c r="EA33" s="11"/>
      <c r="EC33" s="9"/>
      <c r="ED33" s="10"/>
      <c r="EE33" s="11"/>
      <c r="EG33" s="9"/>
      <c r="EH33" s="10"/>
      <c r="EI33" s="11"/>
      <c r="EK33" s="9"/>
      <c r="EL33" s="10"/>
      <c r="EM33" s="11"/>
      <c r="EO33" s="9"/>
      <c r="EP33" s="10"/>
      <c r="EQ33" s="11"/>
      <c r="ES33" s="9"/>
      <c r="ET33" s="10"/>
      <c r="EU33" s="11"/>
      <c r="EW33" s="9"/>
      <c r="EX33" s="10"/>
      <c r="EY33" s="11"/>
      <c r="FA33" s="9"/>
      <c r="FB33" s="10"/>
      <c r="FC33" s="11"/>
      <c r="FE33" s="9"/>
      <c r="FF33" s="10"/>
      <c r="FG33" s="11"/>
      <c r="FI33" s="9"/>
      <c r="FJ33" s="10"/>
      <c r="FK33" s="11"/>
      <c r="FM33" s="9"/>
      <c r="FN33" s="10"/>
      <c r="FO33" s="11"/>
      <c r="FQ33" s="9"/>
      <c r="FR33" s="10"/>
      <c r="FS33" s="11"/>
      <c r="FU33" s="9"/>
      <c r="FV33" s="10"/>
      <c r="FW33" s="11"/>
      <c r="FY33" s="9"/>
      <c r="FZ33" s="10"/>
      <c r="GA33" s="11"/>
      <c r="GC33" s="9"/>
      <c r="GD33" s="10"/>
      <c r="GE33" s="11"/>
      <c r="GG33" s="9"/>
      <c r="GH33" s="10"/>
      <c r="GI33" s="11"/>
      <c r="GK33" s="9"/>
      <c r="GL33" s="10"/>
      <c r="GM33" s="11"/>
      <c r="GO33" s="9"/>
      <c r="GP33" s="10"/>
      <c r="GQ33" s="11"/>
      <c r="GS33" s="9"/>
      <c r="GT33" s="10"/>
      <c r="GU33" s="11"/>
    </row>
    <row r="34" spans="1:203">
      <c r="A34" s="9"/>
      <c r="B34" s="10"/>
      <c r="C34" s="11"/>
      <c r="E34" s="9"/>
      <c r="F34" s="10"/>
      <c r="G34" s="11"/>
      <c r="I34" s="9"/>
      <c r="J34" s="10"/>
      <c r="K34" s="11"/>
      <c r="M34" s="9"/>
      <c r="N34" s="10"/>
      <c r="O34" s="11"/>
      <c r="P34" s="12"/>
      <c r="Q34" s="9"/>
      <c r="R34" s="10"/>
      <c r="S34" s="11"/>
      <c r="U34" s="9"/>
      <c r="V34" s="10"/>
      <c r="W34" s="11"/>
      <c r="Y34" s="9"/>
      <c r="Z34" s="10"/>
      <c r="AA34" s="11"/>
      <c r="AC34" s="9"/>
      <c r="AD34" s="10"/>
      <c r="AE34" s="11"/>
      <c r="AG34" s="9"/>
      <c r="AH34" s="10"/>
      <c r="AI34" s="11"/>
      <c r="AK34" s="9"/>
      <c r="AL34" s="10"/>
      <c r="AM34" s="11"/>
      <c r="AO34" s="9"/>
      <c r="AP34" s="10"/>
      <c r="AQ34" s="11"/>
      <c r="AS34" s="9"/>
      <c r="AT34" s="10"/>
      <c r="AU34" s="11"/>
      <c r="AW34" s="9"/>
      <c r="AX34" s="10"/>
      <c r="AY34" s="11"/>
      <c r="BA34" s="9"/>
      <c r="BB34" s="10"/>
      <c r="BC34" s="11"/>
      <c r="BE34" s="9"/>
      <c r="BF34" s="10"/>
      <c r="BG34" s="11"/>
      <c r="BI34" s="9"/>
      <c r="BJ34" s="10"/>
      <c r="BK34" s="11"/>
      <c r="BM34" s="9"/>
      <c r="BN34" s="10"/>
      <c r="BO34" s="11"/>
      <c r="BQ34" s="9"/>
      <c r="BR34" s="10"/>
      <c r="BS34" s="11"/>
      <c r="BU34" s="9"/>
      <c r="BV34" s="10"/>
      <c r="BW34" s="11"/>
      <c r="BY34" s="9"/>
      <c r="BZ34" s="10"/>
      <c r="CA34" s="11"/>
      <c r="CC34" s="9"/>
      <c r="CD34" s="10"/>
      <c r="CE34" s="11"/>
      <c r="CG34" s="9"/>
      <c r="CH34" s="10"/>
      <c r="CI34" s="11"/>
      <c r="CK34" s="9"/>
      <c r="CL34" s="10"/>
      <c r="CM34" s="11"/>
      <c r="CO34" s="9"/>
      <c r="CP34" s="10"/>
      <c r="CQ34" s="11"/>
      <c r="CS34" s="9"/>
      <c r="CT34" s="10"/>
      <c r="CU34" s="11"/>
      <c r="CW34" s="9"/>
      <c r="CX34" s="10"/>
      <c r="CY34" s="11"/>
      <c r="DA34" s="9"/>
      <c r="DB34" s="10"/>
      <c r="DC34" s="11"/>
      <c r="DE34" s="9"/>
      <c r="DF34" s="10"/>
      <c r="DG34" s="11"/>
      <c r="DI34" s="9"/>
      <c r="DJ34" s="10"/>
      <c r="DK34" s="11"/>
      <c r="DM34" s="9"/>
      <c r="DN34" s="10"/>
      <c r="DO34" s="11"/>
      <c r="DQ34" s="9"/>
      <c r="DR34" s="10"/>
      <c r="DS34" s="11"/>
      <c r="DU34" s="9"/>
      <c r="DV34" s="10"/>
      <c r="DW34" s="11"/>
      <c r="DY34" s="9"/>
      <c r="DZ34" s="10"/>
      <c r="EA34" s="11"/>
      <c r="EC34" s="9"/>
      <c r="ED34" s="10"/>
      <c r="EE34" s="11"/>
      <c r="EG34" s="9"/>
      <c r="EH34" s="10"/>
      <c r="EI34" s="11"/>
      <c r="EK34" s="9"/>
      <c r="EL34" s="10"/>
      <c r="EM34" s="11"/>
      <c r="EO34" s="9"/>
      <c r="EP34" s="10"/>
      <c r="EQ34" s="11"/>
      <c r="ES34" s="9"/>
      <c r="ET34" s="10"/>
      <c r="EU34" s="11"/>
      <c r="EW34" s="9"/>
      <c r="EX34" s="10"/>
      <c r="EY34" s="11"/>
      <c r="FA34" s="9"/>
      <c r="FB34" s="10"/>
      <c r="FC34" s="11"/>
      <c r="FE34" s="9"/>
      <c r="FF34" s="10"/>
      <c r="FG34" s="11"/>
      <c r="FI34" s="9"/>
      <c r="FJ34" s="10"/>
      <c r="FK34" s="11"/>
      <c r="FM34" s="9"/>
      <c r="FN34" s="10"/>
      <c r="FO34" s="11"/>
      <c r="FQ34" s="9"/>
      <c r="FR34" s="10"/>
      <c r="FS34" s="11"/>
      <c r="FU34" s="9"/>
      <c r="FV34" s="10"/>
      <c r="FW34" s="11"/>
      <c r="FY34" s="9"/>
      <c r="FZ34" s="10"/>
      <c r="GA34" s="11"/>
      <c r="GC34" s="9"/>
      <c r="GD34" s="10"/>
      <c r="GE34" s="11"/>
      <c r="GG34" s="9"/>
      <c r="GH34" s="10"/>
      <c r="GI34" s="11"/>
      <c r="GK34" s="9"/>
      <c r="GL34" s="10"/>
      <c r="GM34" s="11"/>
      <c r="GO34" s="9"/>
      <c r="GP34" s="10"/>
      <c r="GQ34" s="11"/>
      <c r="GS34" s="9"/>
      <c r="GT34" s="10"/>
      <c r="GU34" s="11"/>
    </row>
    <row r="35" spans="1:203">
      <c r="A35" s="9"/>
      <c r="B35" s="10"/>
      <c r="C35" s="11"/>
      <c r="E35" s="9"/>
      <c r="F35" s="10"/>
      <c r="G35" s="11"/>
      <c r="I35" s="9"/>
      <c r="J35" s="10"/>
      <c r="K35" s="11"/>
      <c r="M35" s="9"/>
      <c r="N35" s="10"/>
      <c r="O35" s="11"/>
      <c r="P35" s="12"/>
      <c r="Q35" s="9"/>
      <c r="R35" s="10"/>
      <c r="S35" s="11"/>
      <c r="U35" s="9"/>
      <c r="V35" s="10"/>
      <c r="W35" s="11"/>
      <c r="Y35" s="9"/>
      <c r="Z35" s="10"/>
      <c r="AA35" s="11"/>
      <c r="AC35" s="9"/>
      <c r="AD35" s="10"/>
      <c r="AE35" s="11"/>
      <c r="AG35" s="9"/>
      <c r="AH35" s="10"/>
      <c r="AI35" s="11"/>
      <c r="AK35" s="9"/>
      <c r="AL35" s="10"/>
      <c r="AM35" s="11"/>
      <c r="AO35" s="9"/>
      <c r="AP35" s="10"/>
      <c r="AQ35" s="11"/>
      <c r="AS35" s="9"/>
      <c r="AT35" s="10"/>
      <c r="AU35" s="11"/>
      <c r="AW35" s="9"/>
      <c r="AX35" s="10"/>
      <c r="AY35" s="11"/>
      <c r="BA35" s="9"/>
      <c r="BB35" s="10"/>
      <c r="BC35" s="11"/>
      <c r="BE35" s="9"/>
      <c r="BF35" s="10"/>
      <c r="BG35" s="11"/>
      <c r="BI35" s="9"/>
      <c r="BJ35" s="10"/>
      <c r="BK35" s="11"/>
      <c r="BM35" s="9"/>
      <c r="BN35" s="10"/>
      <c r="BO35" s="11"/>
      <c r="BQ35" s="9"/>
      <c r="BR35" s="10"/>
      <c r="BS35" s="11"/>
      <c r="BU35" s="9"/>
      <c r="BV35" s="10"/>
      <c r="BW35" s="11"/>
      <c r="BY35" s="9"/>
      <c r="BZ35" s="10"/>
      <c r="CA35" s="11"/>
      <c r="CC35" s="9"/>
      <c r="CD35" s="10"/>
      <c r="CE35" s="11"/>
      <c r="CG35" s="9"/>
      <c r="CH35" s="10"/>
      <c r="CI35" s="11"/>
      <c r="CK35" s="9"/>
      <c r="CL35" s="10"/>
      <c r="CM35" s="11"/>
      <c r="CO35" s="9"/>
      <c r="CP35" s="10"/>
      <c r="CQ35" s="11"/>
      <c r="CS35" s="9"/>
      <c r="CT35" s="10"/>
      <c r="CU35" s="11"/>
      <c r="CW35" s="9"/>
      <c r="CX35" s="10"/>
      <c r="CY35" s="11"/>
      <c r="DA35" s="9"/>
      <c r="DB35" s="10"/>
      <c r="DC35" s="11"/>
      <c r="DE35" s="9"/>
      <c r="DF35" s="10"/>
      <c r="DG35" s="11"/>
      <c r="DI35" s="9"/>
      <c r="DJ35" s="10"/>
      <c r="DK35" s="11"/>
      <c r="DM35" s="9"/>
      <c r="DN35" s="10"/>
      <c r="DO35" s="11"/>
      <c r="DQ35" s="9"/>
      <c r="DR35" s="10"/>
      <c r="DS35" s="11"/>
      <c r="DU35" s="9"/>
      <c r="DV35" s="10"/>
      <c r="DW35" s="11"/>
      <c r="DY35" s="9"/>
      <c r="DZ35" s="10"/>
      <c r="EA35" s="11"/>
      <c r="EC35" s="9"/>
      <c r="ED35" s="10"/>
      <c r="EE35" s="11"/>
      <c r="EG35" s="9"/>
      <c r="EH35" s="10"/>
      <c r="EI35" s="11"/>
      <c r="EK35" s="9"/>
      <c r="EL35" s="10"/>
      <c r="EM35" s="11"/>
      <c r="EO35" s="9"/>
      <c r="EP35" s="10"/>
      <c r="EQ35" s="11"/>
      <c r="ES35" s="9"/>
      <c r="ET35" s="10"/>
      <c r="EU35" s="11"/>
      <c r="EW35" s="9"/>
      <c r="EX35" s="10"/>
      <c r="EY35" s="11"/>
      <c r="FA35" s="9"/>
      <c r="FB35" s="10"/>
      <c r="FC35" s="11"/>
      <c r="FE35" s="9"/>
      <c r="FF35" s="10"/>
      <c r="FG35" s="11"/>
      <c r="FI35" s="9"/>
      <c r="FJ35" s="10"/>
      <c r="FK35" s="11"/>
      <c r="FM35" s="9"/>
      <c r="FN35" s="10"/>
      <c r="FO35" s="11"/>
      <c r="FQ35" s="9"/>
      <c r="FR35" s="10"/>
      <c r="FS35" s="11"/>
      <c r="FU35" s="9"/>
      <c r="FV35" s="10"/>
      <c r="FW35" s="11"/>
      <c r="FY35" s="9"/>
      <c r="FZ35" s="10"/>
      <c r="GA35" s="11"/>
      <c r="GC35" s="9"/>
      <c r="GD35" s="10"/>
      <c r="GE35" s="11"/>
      <c r="GG35" s="9"/>
      <c r="GH35" s="10"/>
      <c r="GI35" s="11"/>
      <c r="GK35" s="9"/>
      <c r="GL35" s="10"/>
      <c r="GM35" s="11"/>
      <c r="GO35" s="9"/>
      <c r="GP35" s="10"/>
      <c r="GQ35" s="11"/>
      <c r="GS35" s="9"/>
      <c r="GT35" s="10"/>
      <c r="GU35" s="11"/>
    </row>
    <row r="36" spans="1:203">
      <c r="A36" s="9"/>
      <c r="B36" s="10"/>
      <c r="C36" s="11"/>
      <c r="E36" s="9"/>
      <c r="F36" s="10"/>
      <c r="G36" s="11"/>
      <c r="I36" s="9"/>
      <c r="J36" s="10"/>
      <c r="K36" s="11"/>
      <c r="M36" s="9"/>
      <c r="N36" s="10"/>
      <c r="O36" s="11"/>
      <c r="P36" s="12"/>
      <c r="Q36" s="9"/>
      <c r="R36" s="10"/>
      <c r="S36" s="11"/>
      <c r="U36" s="9"/>
      <c r="V36" s="10"/>
      <c r="W36" s="11"/>
      <c r="Y36" s="9"/>
      <c r="Z36" s="10"/>
      <c r="AA36" s="11"/>
      <c r="AC36" s="9"/>
      <c r="AD36" s="10"/>
      <c r="AE36" s="11"/>
      <c r="AG36" s="9"/>
      <c r="AH36" s="10"/>
      <c r="AI36" s="11"/>
      <c r="AK36" s="9"/>
      <c r="AL36" s="10"/>
      <c r="AM36" s="11"/>
      <c r="AO36" s="9"/>
      <c r="AP36" s="10"/>
      <c r="AQ36" s="11"/>
      <c r="AS36" s="9"/>
      <c r="AT36" s="10"/>
      <c r="AU36" s="11"/>
      <c r="AW36" s="9"/>
      <c r="AX36" s="10"/>
      <c r="AY36" s="11"/>
      <c r="BA36" s="9"/>
      <c r="BB36" s="10"/>
      <c r="BC36" s="11"/>
      <c r="BE36" s="9"/>
      <c r="BF36" s="10"/>
      <c r="BG36" s="11"/>
      <c r="BI36" s="9"/>
      <c r="BJ36" s="10"/>
      <c r="BK36" s="11"/>
      <c r="BM36" s="9"/>
      <c r="BN36" s="10"/>
      <c r="BO36" s="11"/>
      <c r="BQ36" s="9"/>
      <c r="BR36" s="10"/>
      <c r="BS36" s="11"/>
      <c r="BU36" s="9"/>
      <c r="BV36" s="10"/>
      <c r="BW36" s="11"/>
      <c r="BY36" s="9"/>
      <c r="BZ36" s="10"/>
      <c r="CA36" s="11"/>
      <c r="CC36" s="9"/>
      <c r="CD36" s="10"/>
      <c r="CE36" s="11"/>
      <c r="CG36" s="9"/>
      <c r="CH36" s="10"/>
      <c r="CI36" s="11"/>
      <c r="CK36" s="9"/>
      <c r="CL36" s="10"/>
      <c r="CM36" s="11"/>
      <c r="CO36" s="9"/>
      <c r="CP36" s="10"/>
      <c r="CQ36" s="11"/>
      <c r="CS36" s="9"/>
      <c r="CT36" s="10"/>
      <c r="CU36" s="11"/>
      <c r="CW36" s="9"/>
      <c r="CX36" s="10"/>
      <c r="CY36" s="11"/>
      <c r="DA36" s="9"/>
      <c r="DB36" s="10"/>
      <c r="DC36" s="11"/>
      <c r="DE36" s="9"/>
      <c r="DF36" s="10"/>
      <c r="DG36" s="11"/>
      <c r="DI36" s="9"/>
      <c r="DJ36" s="10"/>
      <c r="DK36" s="11"/>
      <c r="DM36" s="9"/>
      <c r="DN36" s="10"/>
      <c r="DO36" s="11"/>
      <c r="DQ36" s="9"/>
      <c r="DR36" s="10"/>
      <c r="DS36" s="11"/>
      <c r="DU36" s="9"/>
      <c r="DV36" s="10"/>
      <c r="DW36" s="11"/>
      <c r="DY36" s="9"/>
      <c r="DZ36" s="10"/>
      <c r="EA36" s="11"/>
      <c r="EC36" s="9"/>
      <c r="ED36" s="10"/>
      <c r="EE36" s="11"/>
      <c r="EG36" s="9"/>
      <c r="EH36" s="10"/>
      <c r="EI36" s="11"/>
      <c r="EK36" s="9"/>
      <c r="EL36" s="10"/>
      <c r="EM36" s="11"/>
      <c r="EO36" s="9"/>
      <c r="EP36" s="10"/>
      <c r="EQ36" s="11"/>
      <c r="ES36" s="9"/>
      <c r="ET36" s="10"/>
      <c r="EU36" s="11"/>
      <c r="EW36" s="9"/>
      <c r="EX36" s="10"/>
      <c r="EY36" s="11"/>
      <c r="FA36" s="9"/>
      <c r="FB36" s="10"/>
      <c r="FC36" s="11"/>
      <c r="FE36" s="9"/>
      <c r="FF36" s="10"/>
      <c r="FG36" s="11"/>
      <c r="FI36" s="9"/>
      <c r="FJ36" s="10"/>
      <c r="FK36" s="11"/>
      <c r="FM36" s="9"/>
      <c r="FN36" s="10"/>
      <c r="FO36" s="11"/>
      <c r="FQ36" s="9"/>
      <c r="FR36" s="10"/>
      <c r="FS36" s="11"/>
      <c r="FU36" s="9"/>
      <c r="FV36" s="10"/>
      <c r="FW36" s="11"/>
      <c r="FY36" s="9"/>
      <c r="FZ36" s="10"/>
      <c r="GA36" s="11"/>
      <c r="GC36" s="9"/>
      <c r="GD36" s="10"/>
      <c r="GE36" s="11"/>
      <c r="GG36" s="9"/>
      <c r="GH36" s="10"/>
      <c r="GI36" s="11"/>
      <c r="GK36" s="9"/>
      <c r="GL36" s="10"/>
      <c r="GM36" s="11"/>
      <c r="GO36" s="9"/>
      <c r="GP36" s="10"/>
      <c r="GQ36" s="11"/>
      <c r="GS36" s="9"/>
      <c r="GT36" s="10"/>
      <c r="GU36" s="11"/>
    </row>
    <row r="37" spans="1:203">
      <c r="A37" s="9"/>
      <c r="B37" s="10"/>
      <c r="C37" s="11"/>
      <c r="E37" s="9"/>
      <c r="F37" s="10"/>
      <c r="G37" s="11"/>
      <c r="I37" s="9"/>
      <c r="J37" s="10"/>
      <c r="K37" s="11"/>
      <c r="M37" s="9"/>
      <c r="N37" s="10"/>
      <c r="O37" s="11"/>
      <c r="P37" s="12"/>
      <c r="Q37" s="9"/>
      <c r="R37" s="10"/>
      <c r="S37" s="11"/>
      <c r="U37" s="9"/>
      <c r="V37" s="10"/>
      <c r="W37" s="11"/>
      <c r="Y37" s="9"/>
      <c r="Z37" s="10"/>
      <c r="AA37" s="11"/>
      <c r="AC37" s="9"/>
      <c r="AD37" s="10"/>
      <c r="AE37" s="11"/>
      <c r="AG37" s="9"/>
      <c r="AH37" s="10"/>
      <c r="AI37" s="11"/>
      <c r="AK37" s="9"/>
      <c r="AL37" s="10"/>
      <c r="AM37" s="11"/>
      <c r="AO37" s="9"/>
      <c r="AP37" s="10"/>
      <c r="AQ37" s="11"/>
      <c r="AS37" s="9"/>
      <c r="AT37" s="10"/>
      <c r="AU37" s="11"/>
      <c r="AW37" s="9"/>
      <c r="AX37" s="10"/>
      <c r="AY37" s="11"/>
      <c r="BA37" s="9"/>
      <c r="BB37" s="10"/>
      <c r="BC37" s="11"/>
      <c r="BE37" s="9"/>
      <c r="BF37" s="10"/>
      <c r="BG37" s="11"/>
      <c r="BI37" s="9"/>
      <c r="BJ37" s="10"/>
      <c r="BK37" s="11"/>
      <c r="BM37" s="9"/>
      <c r="BN37" s="10"/>
      <c r="BO37" s="11"/>
      <c r="BQ37" s="9"/>
      <c r="BR37" s="10"/>
      <c r="BS37" s="11"/>
      <c r="BU37" s="9"/>
      <c r="BV37" s="10"/>
      <c r="BW37" s="11"/>
      <c r="BY37" s="9"/>
      <c r="BZ37" s="10"/>
      <c r="CA37" s="11"/>
      <c r="CC37" s="9"/>
      <c r="CD37" s="10"/>
      <c r="CE37" s="11"/>
      <c r="CG37" s="9"/>
      <c r="CH37" s="10"/>
      <c r="CI37" s="11"/>
      <c r="CK37" s="9"/>
      <c r="CL37" s="10"/>
      <c r="CM37" s="11"/>
      <c r="CO37" s="9"/>
      <c r="CP37" s="10"/>
      <c r="CQ37" s="11"/>
      <c r="CS37" s="9"/>
      <c r="CT37" s="10"/>
      <c r="CU37" s="11"/>
      <c r="CW37" s="9"/>
      <c r="CX37" s="10"/>
      <c r="CY37" s="11"/>
      <c r="DA37" s="9"/>
      <c r="DB37" s="10"/>
      <c r="DC37" s="11"/>
      <c r="DE37" s="9"/>
      <c r="DF37" s="10"/>
      <c r="DG37" s="11"/>
      <c r="DI37" s="9"/>
      <c r="DJ37" s="10"/>
      <c r="DK37" s="11"/>
      <c r="DM37" s="9"/>
      <c r="DN37" s="10"/>
      <c r="DO37" s="11"/>
      <c r="DQ37" s="9"/>
      <c r="DR37" s="10"/>
      <c r="DS37" s="11"/>
      <c r="DU37" s="9"/>
      <c r="DV37" s="10"/>
      <c r="DW37" s="11"/>
      <c r="DY37" s="9"/>
      <c r="DZ37" s="10"/>
      <c r="EA37" s="11"/>
      <c r="EC37" s="9"/>
      <c r="ED37" s="10"/>
      <c r="EE37" s="11"/>
      <c r="EG37" s="9"/>
      <c r="EH37" s="10"/>
      <c r="EI37" s="11"/>
      <c r="EK37" s="9"/>
      <c r="EL37" s="10"/>
      <c r="EM37" s="11"/>
      <c r="EO37" s="9"/>
      <c r="EP37" s="10"/>
      <c r="EQ37" s="11"/>
      <c r="ES37" s="9"/>
      <c r="ET37" s="10"/>
      <c r="EU37" s="11"/>
      <c r="EW37" s="9"/>
      <c r="EX37" s="10"/>
      <c r="EY37" s="11"/>
      <c r="FA37" s="9"/>
      <c r="FB37" s="10"/>
      <c r="FC37" s="11"/>
      <c r="FE37" s="9"/>
      <c r="FF37" s="10"/>
      <c r="FG37" s="11"/>
      <c r="FI37" s="9"/>
      <c r="FJ37" s="10"/>
      <c r="FK37" s="11"/>
      <c r="FM37" s="9"/>
      <c r="FN37" s="10"/>
      <c r="FO37" s="11"/>
      <c r="FQ37" s="9"/>
      <c r="FR37" s="10"/>
      <c r="FS37" s="11"/>
      <c r="FU37" s="9"/>
      <c r="FV37" s="10"/>
      <c r="FW37" s="11"/>
      <c r="FY37" s="9"/>
      <c r="FZ37" s="10"/>
      <c r="GA37" s="11"/>
      <c r="GC37" s="9"/>
      <c r="GD37" s="10"/>
      <c r="GE37" s="11"/>
      <c r="GG37" s="9"/>
      <c r="GH37" s="10"/>
      <c r="GI37" s="11"/>
      <c r="GK37" s="9"/>
      <c r="GL37" s="10"/>
      <c r="GM37" s="11"/>
      <c r="GO37" s="9"/>
      <c r="GP37" s="10"/>
      <c r="GQ37" s="11"/>
      <c r="GS37" s="9"/>
      <c r="GT37" s="10"/>
      <c r="GU37" s="11"/>
    </row>
    <row r="38" spans="1:203">
      <c r="A38" s="9"/>
      <c r="B38" s="10"/>
      <c r="C38" s="11"/>
      <c r="E38" s="9"/>
      <c r="F38" s="10"/>
      <c r="G38" s="11"/>
      <c r="I38" s="9"/>
      <c r="J38" s="10"/>
      <c r="K38" s="11"/>
      <c r="M38" s="9"/>
      <c r="N38" s="10"/>
      <c r="O38" s="11"/>
      <c r="P38" s="12"/>
      <c r="Q38" s="9"/>
      <c r="R38" s="10"/>
      <c r="S38" s="11"/>
      <c r="U38" s="9"/>
      <c r="V38" s="10"/>
      <c r="W38" s="11"/>
      <c r="Y38" s="9"/>
      <c r="Z38" s="10"/>
      <c r="AA38" s="11"/>
      <c r="AC38" s="9"/>
      <c r="AD38" s="10"/>
      <c r="AE38" s="11"/>
      <c r="AG38" s="9"/>
      <c r="AH38" s="10"/>
      <c r="AI38" s="11"/>
      <c r="AK38" s="9"/>
      <c r="AL38" s="10"/>
      <c r="AM38" s="11"/>
      <c r="AO38" s="9"/>
      <c r="AP38" s="10"/>
      <c r="AQ38" s="11"/>
      <c r="AS38" s="9"/>
      <c r="AT38" s="10"/>
      <c r="AU38" s="11"/>
      <c r="AW38" s="9"/>
      <c r="AX38" s="10"/>
      <c r="AY38" s="11"/>
      <c r="BA38" s="9"/>
      <c r="BB38" s="10"/>
      <c r="BC38" s="11"/>
      <c r="BE38" s="9"/>
      <c r="BF38" s="10"/>
      <c r="BG38" s="11"/>
      <c r="BI38" s="9"/>
      <c r="BJ38" s="10"/>
      <c r="BK38" s="11"/>
      <c r="BM38" s="9"/>
      <c r="BN38" s="10"/>
      <c r="BO38" s="11"/>
      <c r="BQ38" s="9"/>
      <c r="BR38" s="10"/>
      <c r="BS38" s="11"/>
      <c r="BU38" s="9"/>
      <c r="BV38" s="10"/>
      <c r="BW38" s="11"/>
      <c r="BY38" s="9"/>
      <c r="BZ38" s="10"/>
      <c r="CA38" s="11"/>
      <c r="CC38" s="9"/>
      <c r="CD38" s="10"/>
      <c r="CE38" s="11"/>
      <c r="CG38" s="9"/>
      <c r="CH38" s="10"/>
      <c r="CI38" s="11"/>
      <c r="CK38" s="9"/>
      <c r="CL38" s="10"/>
      <c r="CM38" s="11"/>
      <c r="CO38" s="9"/>
      <c r="CP38" s="10"/>
      <c r="CQ38" s="11"/>
      <c r="CS38" s="9"/>
      <c r="CT38" s="10"/>
      <c r="CU38" s="11"/>
      <c r="CW38" s="9"/>
      <c r="CX38" s="10"/>
      <c r="CY38" s="11"/>
      <c r="DA38" s="9"/>
      <c r="DB38" s="10"/>
      <c r="DC38" s="11"/>
      <c r="DE38" s="9"/>
      <c r="DF38" s="10"/>
      <c r="DG38" s="11"/>
      <c r="DI38" s="9"/>
      <c r="DJ38" s="10"/>
      <c r="DK38" s="11"/>
      <c r="DM38" s="9"/>
      <c r="DN38" s="10"/>
      <c r="DO38" s="11"/>
      <c r="DQ38" s="9"/>
      <c r="DR38" s="10"/>
      <c r="DS38" s="11"/>
      <c r="DU38" s="9"/>
      <c r="DV38" s="10"/>
      <c r="DW38" s="11"/>
      <c r="DY38" s="9"/>
      <c r="DZ38" s="10"/>
      <c r="EA38" s="11"/>
      <c r="EC38" s="9"/>
      <c r="ED38" s="10"/>
      <c r="EE38" s="11"/>
      <c r="EG38" s="9"/>
      <c r="EH38" s="10"/>
      <c r="EI38" s="11"/>
      <c r="EK38" s="9"/>
      <c r="EL38" s="10"/>
      <c r="EM38" s="11"/>
      <c r="EO38" s="9"/>
      <c r="EP38" s="10"/>
      <c r="EQ38" s="11"/>
      <c r="ES38" s="9"/>
      <c r="ET38" s="10"/>
      <c r="EU38" s="11"/>
      <c r="EW38" s="9"/>
      <c r="EX38" s="10"/>
      <c r="EY38" s="11"/>
      <c r="FA38" s="9"/>
      <c r="FB38" s="10"/>
      <c r="FC38" s="11"/>
      <c r="FE38" s="9"/>
      <c r="FF38" s="10"/>
      <c r="FG38" s="11"/>
      <c r="FI38" s="9"/>
      <c r="FJ38" s="10"/>
      <c r="FK38" s="11"/>
      <c r="FM38" s="9"/>
      <c r="FN38" s="10"/>
      <c r="FO38" s="11"/>
      <c r="FQ38" s="9"/>
      <c r="FR38" s="10"/>
      <c r="FS38" s="11"/>
      <c r="FU38" s="9"/>
      <c r="FV38" s="10"/>
      <c r="FW38" s="11"/>
      <c r="FY38" s="9"/>
      <c r="FZ38" s="10"/>
      <c r="GA38" s="11"/>
      <c r="GC38" s="9"/>
      <c r="GD38" s="10"/>
      <c r="GE38" s="11"/>
      <c r="GG38" s="9"/>
      <c r="GH38" s="10"/>
      <c r="GI38" s="11"/>
      <c r="GK38" s="9"/>
      <c r="GL38" s="10"/>
      <c r="GM38" s="11"/>
      <c r="GO38" s="9"/>
      <c r="GP38" s="10"/>
      <c r="GQ38" s="11"/>
      <c r="GS38" s="9"/>
      <c r="GT38" s="10"/>
      <c r="GU38" s="11"/>
    </row>
    <row r="39" spans="1:203">
      <c r="A39" s="9"/>
      <c r="B39" s="10"/>
      <c r="C39" s="11"/>
      <c r="E39" s="9"/>
      <c r="F39" s="10"/>
      <c r="G39" s="11"/>
      <c r="I39" s="9"/>
      <c r="J39" s="10"/>
      <c r="K39" s="11"/>
      <c r="M39" s="9"/>
      <c r="N39" s="10"/>
      <c r="O39" s="11"/>
      <c r="P39" s="12"/>
      <c r="Q39" s="9"/>
      <c r="R39" s="10"/>
      <c r="S39" s="11"/>
      <c r="U39" s="9"/>
      <c r="V39" s="10"/>
      <c r="W39" s="11"/>
      <c r="Y39" s="9"/>
      <c r="Z39" s="10"/>
      <c r="AA39" s="11"/>
      <c r="AC39" s="9"/>
      <c r="AD39" s="10"/>
      <c r="AE39" s="11"/>
      <c r="AG39" s="9"/>
      <c r="AH39" s="10"/>
      <c r="AI39" s="11"/>
      <c r="AK39" s="9"/>
      <c r="AL39" s="10"/>
      <c r="AM39" s="11"/>
      <c r="AO39" s="9"/>
      <c r="AP39" s="10"/>
      <c r="AQ39" s="11"/>
      <c r="AS39" s="9"/>
      <c r="AT39" s="10"/>
      <c r="AU39" s="11"/>
      <c r="AW39" s="9"/>
      <c r="AX39" s="10"/>
      <c r="AY39" s="11"/>
      <c r="BA39" s="9"/>
      <c r="BB39" s="10"/>
      <c r="BC39" s="11"/>
      <c r="BE39" s="9"/>
      <c r="BF39" s="10"/>
      <c r="BG39" s="11"/>
      <c r="BI39" s="9"/>
      <c r="BJ39" s="10"/>
      <c r="BK39" s="11"/>
      <c r="BM39" s="9"/>
      <c r="BN39" s="10"/>
      <c r="BO39" s="11"/>
      <c r="BQ39" s="9"/>
      <c r="BR39" s="10"/>
      <c r="BS39" s="11"/>
      <c r="BU39" s="9"/>
      <c r="BV39" s="10"/>
      <c r="BW39" s="11"/>
      <c r="BY39" s="9"/>
      <c r="BZ39" s="10"/>
      <c r="CA39" s="11"/>
      <c r="CC39" s="9"/>
      <c r="CD39" s="10"/>
      <c r="CE39" s="11"/>
      <c r="CG39" s="9"/>
      <c r="CH39" s="10"/>
      <c r="CI39" s="11"/>
      <c r="CK39" s="9"/>
      <c r="CL39" s="10"/>
      <c r="CM39" s="11"/>
      <c r="CO39" s="9"/>
      <c r="CP39" s="10"/>
      <c r="CQ39" s="11"/>
      <c r="CS39" s="9"/>
      <c r="CT39" s="10"/>
      <c r="CU39" s="11"/>
      <c r="CW39" s="9"/>
      <c r="CX39" s="10"/>
      <c r="CY39" s="11"/>
      <c r="DA39" s="9"/>
      <c r="DB39" s="10"/>
      <c r="DC39" s="11"/>
      <c r="DE39" s="9"/>
      <c r="DF39" s="10"/>
      <c r="DG39" s="11"/>
      <c r="DI39" s="9"/>
      <c r="DJ39" s="10"/>
      <c r="DK39" s="11"/>
      <c r="DM39" s="9"/>
      <c r="DN39" s="10"/>
      <c r="DO39" s="11"/>
      <c r="DQ39" s="9"/>
      <c r="DR39" s="10"/>
      <c r="DS39" s="11"/>
      <c r="DU39" s="9"/>
      <c r="DV39" s="10"/>
      <c r="DW39" s="11"/>
      <c r="DY39" s="9"/>
      <c r="DZ39" s="10"/>
      <c r="EA39" s="11"/>
      <c r="EC39" s="9"/>
      <c r="ED39" s="10"/>
      <c r="EE39" s="11"/>
      <c r="EG39" s="9"/>
      <c r="EH39" s="10"/>
      <c r="EI39" s="11"/>
      <c r="EK39" s="9"/>
      <c r="EL39" s="10"/>
      <c r="EM39" s="11"/>
      <c r="EO39" s="9"/>
      <c r="EP39" s="10"/>
      <c r="EQ39" s="11"/>
      <c r="ES39" s="9"/>
      <c r="ET39" s="10"/>
      <c r="EU39" s="11"/>
      <c r="EW39" s="9"/>
      <c r="EX39" s="10"/>
      <c r="EY39" s="11"/>
      <c r="FA39" s="9"/>
      <c r="FB39" s="10"/>
      <c r="FC39" s="11"/>
      <c r="FE39" s="9"/>
      <c r="FF39" s="10"/>
      <c r="FG39" s="11"/>
      <c r="FI39" s="9"/>
      <c r="FJ39" s="10"/>
      <c r="FK39" s="11"/>
      <c r="FM39" s="9"/>
      <c r="FN39" s="10"/>
      <c r="FO39" s="11"/>
      <c r="FQ39" s="9"/>
      <c r="FR39" s="10"/>
      <c r="FS39" s="11"/>
      <c r="FU39" s="9"/>
      <c r="FV39" s="10"/>
      <c r="FW39" s="11"/>
      <c r="FY39" s="9"/>
      <c r="FZ39" s="10"/>
      <c r="GA39" s="11"/>
      <c r="GC39" s="9"/>
      <c r="GD39" s="10"/>
      <c r="GE39" s="11"/>
      <c r="GG39" s="9"/>
      <c r="GH39" s="10"/>
      <c r="GI39" s="11"/>
      <c r="GK39" s="9"/>
      <c r="GL39" s="10"/>
      <c r="GM39" s="11"/>
      <c r="GO39" s="9"/>
      <c r="GP39" s="10"/>
      <c r="GQ39" s="11"/>
      <c r="GS39" s="9"/>
      <c r="GT39" s="10"/>
      <c r="GU39" s="11"/>
    </row>
    <row r="40" spans="1:203">
      <c r="A40" s="9"/>
      <c r="B40" s="10"/>
      <c r="C40" s="11"/>
      <c r="E40" s="9"/>
      <c r="F40" s="10"/>
      <c r="G40" s="11"/>
      <c r="I40" s="9"/>
      <c r="J40" s="10"/>
      <c r="K40" s="11"/>
      <c r="M40" s="9"/>
      <c r="N40" s="10"/>
      <c r="O40" s="11"/>
      <c r="P40" s="12"/>
      <c r="Q40" s="9"/>
      <c r="R40" s="10"/>
      <c r="S40" s="11"/>
      <c r="U40" s="9"/>
      <c r="V40" s="10"/>
      <c r="W40" s="11"/>
      <c r="Y40" s="9"/>
      <c r="Z40" s="10"/>
      <c r="AA40" s="11"/>
      <c r="AC40" s="9"/>
      <c r="AD40" s="10"/>
      <c r="AE40" s="11"/>
      <c r="AG40" s="9"/>
      <c r="AH40" s="10"/>
      <c r="AI40" s="11"/>
      <c r="AK40" s="9"/>
      <c r="AL40" s="10"/>
      <c r="AM40" s="11"/>
      <c r="AO40" s="9"/>
      <c r="AP40" s="10"/>
      <c r="AQ40" s="11"/>
      <c r="AS40" s="9"/>
      <c r="AT40" s="10"/>
      <c r="AU40" s="11"/>
      <c r="AW40" s="9"/>
      <c r="AX40" s="10"/>
      <c r="AY40" s="11"/>
      <c r="BA40" s="9"/>
      <c r="BB40" s="10"/>
      <c r="BC40" s="11"/>
      <c r="BE40" s="9"/>
      <c r="BF40" s="10"/>
      <c r="BG40" s="11"/>
      <c r="BI40" s="9"/>
      <c r="BJ40" s="10"/>
      <c r="BK40" s="11"/>
      <c r="BM40" s="9"/>
      <c r="BN40" s="10"/>
      <c r="BO40" s="11"/>
      <c r="BQ40" s="9"/>
      <c r="BR40" s="10"/>
      <c r="BS40" s="11"/>
      <c r="BU40" s="9"/>
      <c r="BV40" s="10"/>
      <c r="BW40" s="11"/>
      <c r="BY40" s="9"/>
      <c r="BZ40" s="10"/>
      <c r="CA40" s="11"/>
      <c r="CC40" s="9"/>
      <c r="CD40" s="10"/>
      <c r="CE40" s="11"/>
      <c r="CG40" s="9"/>
      <c r="CH40" s="10"/>
      <c r="CI40" s="11"/>
      <c r="CK40" s="9"/>
      <c r="CL40" s="10"/>
      <c r="CM40" s="11"/>
      <c r="CO40" s="9"/>
      <c r="CP40" s="10"/>
      <c r="CQ40" s="11"/>
      <c r="CS40" s="9"/>
      <c r="CT40" s="10"/>
      <c r="CU40" s="11"/>
      <c r="CW40" s="9"/>
      <c r="CX40" s="10"/>
      <c r="CY40" s="11"/>
      <c r="DA40" s="9"/>
      <c r="DB40" s="10"/>
      <c r="DC40" s="11"/>
      <c r="DE40" s="9"/>
      <c r="DF40" s="10"/>
      <c r="DG40" s="11"/>
      <c r="DI40" s="9"/>
      <c r="DJ40" s="10"/>
      <c r="DK40" s="11"/>
      <c r="DM40" s="9"/>
      <c r="DN40" s="10"/>
      <c r="DO40" s="11"/>
      <c r="DQ40" s="9"/>
      <c r="DR40" s="10"/>
      <c r="DS40" s="11"/>
      <c r="DU40" s="9"/>
      <c r="DV40" s="10"/>
      <c r="DW40" s="11"/>
      <c r="DY40" s="9"/>
      <c r="DZ40" s="10"/>
      <c r="EA40" s="11"/>
      <c r="EC40" s="9"/>
      <c r="ED40" s="10"/>
      <c r="EE40" s="11"/>
      <c r="EG40" s="9"/>
      <c r="EH40" s="10"/>
      <c r="EI40" s="11"/>
      <c r="EK40" s="9"/>
      <c r="EL40" s="10"/>
      <c r="EM40" s="11"/>
      <c r="EO40" s="9"/>
      <c r="EP40" s="10"/>
      <c r="EQ40" s="11"/>
      <c r="ES40" s="9"/>
      <c r="ET40" s="10"/>
      <c r="EU40" s="11"/>
      <c r="EW40" s="9"/>
      <c r="EX40" s="10"/>
      <c r="EY40" s="11"/>
      <c r="FA40" s="9"/>
      <c r="FB40" s="10"/>
      <c r="FC40" s="11"/>
      <c r="FE40" s="9"/>
      <c r="FF40" s="10"/>
      <c r="FG40" s="11"/>
      <c r="FI40" s="9"/>
      <c r="FJ40" s="10"/>
      <c r="FK40" s="11"/>
      <c r="FM40" s="9"/>
      <c r="FN40" s="10"/>
      <c r="FO40" s="11"/>
      <c r="FQ40" s="9"/>
      <c r="FR40" s="10"/>
      <c r="FS40" s="11"/>
      <c r="FU40" s="9"/>
      <c r="FV40" s="10"/>
      <c r="FW40" s="11"/>
      <c r="FY40" s="9"/>
      <c r="FZ40" s="10"/>
      <c r="GA40" s="11"/>
      <c r="GC40" s="9"/>
      <c r="GD40" s="10"/>
      <c r="GE40" s="11"/>
      <c r="GG40" s="9"/>
      <c r="GH40" s="10"/>
      <c r="GI40" s="11"/>
      <c r="GK40" s="9"/>
      <c r="GL40" s="10"/>
      <c r="GM40" s="11"/>
      <c r="GO40" s="9"/>
      <c r="GP40" s="10"/>
      <c r="GQ40" s="11"/>
      <c r="GS40" s="9"/>
      <c r="GT40" s="10"/>
      <c r="GU40" s="11"/>
    </row>
    <row r="41" spans="1:203">
      <c r="A41" s="9"/>
      <c r="B41" s="10"/>
      <c r="C41" s="11"/>
      <c r="E41" s="9"/>
      <c r="F41" s="10"/>
      <c r="G41" s="11"/>
      <c r="I41" s="9"/>
      <c r="J41" s="10"/>
      <c r="K41" s="11"/>
      <c r="M41" s="9"/>
      <c r="N41" s="10"/>
      <c r="O41" s="11"/>
      <c r="P41" s="12"/>
      <c r="Q41" s="9"/>
      <c r="R41" s="10"/>
      <c r="S41" s="11"/>
      <c r="U41" s="9"/>
      <c r="V41" s="10"/>
      <c r="W41" s="11"/>
      <c r="Y41" s="9"/>
      <c r="Z41" s="10"/>
      <c r="AA41" s="11"/>
      <c r="AC41" s="9"/>
      <c r="AD41" s="10"/>
      <c r="AE41" s="11"/>
      <c r="AG41" s="9"/>
      <c r="AH41" s="10"/>
      <c r="AI41" s="11"/>
      <c r="AK41" s="9"/>
      <c r="AL41" s="10"/>
      <c r="AM41" s="11"/>
      <c r="AO41" s="9"/>
      <c r="AP41" s="10"/>
      <c r="AQ41" s="11"/>
      <c r="AS41" s="9"/>
      <c r="AT41" s="10"/>
      <c r="AU41" s="11"/>
      <c r="AW41" s="9"/>
      <c r="AX41" s="10"/>
      <c r="AY41" s="11"/>
      <c r="BA41" s="9"/>
      <c r="BB41" s="10"/>
      <c r="BC41" s="11"/>
      <c r="BE41" s="9"/>
      <c r="BF41" s="10"/>
      <c r="BG41" s="11"/>
      <c r="BI41" s="9"/>
      <c r="BJ41" s="10"/>
      <c r="BK41" s="11"/>
      <c r="BM41" s="9"/>
      <c r="BN41" s="10"/>
      <c r="BO41" s="11"/>
      <c r="BQ41" s="9"/>
      <c r="BR41" s="10"/>
      <c r="BS41" s="11"/>
      <c r="BU41" s="9"/>
      <c r="BV41" s="10"/>
      <c r="BW41" s="11"/>
      <c r="BY41" s="9"/>
      <c r="BZ41" s="10"/>
      <c r="CA41" s="11"/>
      <c r="CC41" s="9"/>
      <c r="CD41" s="10"/>
      <c r="CE41" s="11"/>
      <c r="CG41" s="9"/>
      <c r="CH41" s="10"/>
      <c r="CI41" s="11"/>
      <c r="CK41" s="9"/>
      <c r="CL41" s="10"/>
      <c r="CM41" s="11"/>
      <c r="CO41" s="9"/>
      <c r="CP41" s="10"/>
      <c r="CQ41" s="11"/>
      <c r="CS41" s="9"/>
      <c r="CT41" s="10"/>
      <c r="CU41" s="11"/>
      <c r="CW41" s="9"/>
      <c r="CX41" s="10"/>
      <c r="CY41" s="11"/>
      <c r="DA41" s="9"/>
      <c r="DB41" s="10"/>
      <c r="DC41" s="11"/>
      <c r="DE41" s="9"/>
      <c r="DF41" s="10"/>
      <c r="DG41" s="11"/>
      <c r="DI41" s="9"/>
      <c r="DJ41" s="10"/>
      <c r="DK41" s="11"/>
      <c r="DM41" s="9"/>
      <c r="DN41" s="10"/>
      <c r="DO41" s="11"/>
      <c r="DQ41" s="9"/>
      <c r="DR41" s="10"/>
      <c r="DS41" s="11"/>
      <c r="DU41" s="9"/>
      <c r="DV41" s="10"/>
      <c r="DW41" s="11"/>
      <c r="DY41" s="9"/>
      <c r="DZ41" s="10"/>
      <c r="EA41" s="11"/>
      <c r="EC41" s="9"/>
      <c r="ED41" s="10"/>
      <c r="EE41" s="11"/>
      <c r="EG41" s="9"/>
      <c r="EH41" s="10"/>
      <c r="EI41" s="11"/>
      <c r="EK41" s="9"/>
      <c r="EL41" s="10"/>
      <c r="EM41" s="11"/>
      <c r="EO41" s="9"/>
      <c r="EP41" s="10"/>
      <c r="EQ41" s="11"/>
      <c r="ES41" s="9"/>
      <c r="ET41" s="10"/>
      <c r="EU41" s="11"/>
      <c r="EW41" s="9"/>
      <c r="EX41" s="10"/>
      <c r="EY41" s="11"/>
      <c r="FA41" s="9"/>
      <c r="FB41" s="10"/>
      <c r="FC41" s="11"/>
      <c r="FE41" s="9"/>
      <c r="FF41" s="10"/>
      <c r="FG41" s="11"/>
      <c r="FI41" s="9"/>
      <c r="FJ41" s="10"/>
      <c r="FK41" s="11"/>
      <c r="FM41" s="9"/>
      <c r="FN41" s="10"/>
      <c r="FO41" s="11"/>
      <c r="FQ41" s="9"/>
      <c r="FR41" s="10"/>
      <c r="FS41" s="11"/>
      <c r="FU41" s="9"/>
      <c r="FV41" s="10"/>
      <c r="FW41" s="11"/>
      <c r="FY41" s="9"/>
      <c r="FZ41" s="10"/>
      <c r="GA41" s="11"/>
      <c r="GC41" s="9"/>
      <c r="GD41" s="10"/>
      <c r="GE41" s="11"/>
      <c r="GG41" s="9"/>
      <c r="GH41" s="10"/>
      <c r="GI41" s="11"/>
      <c r="GK41" s="9"/>
      <c r="GL41" s="10"/>
      <c r="GM41" s="11"/>
      <c r="GO41" s="9"/>
      <c r="GP41" s="10"/>
      <c r="GQ41" s="11"/>
      <c r="GS41" s="9"/>
      <c r="GT41" s="10"/>
      <c r="GU41" s="11"/>
    </row>
    <row r="42" spans="1:203">
      <c r="A42" s="9"/>
      <c r="B42" s="10"/>
      <c r="C42" s="11"/>
      <c r="E42" s="9"/>
      <c r="F42" s="10"/>
      <c r="G42" s="11"/>
      <c r="I42" s="9"/>
      <c r="J42" s="10"/>
      <c r="K42" s="11"/>
      <c r="M42" s="9"/>
      <c r="N42" s="10"/>
      <c r="O42" s="11"/>
      <c r="P42" s="12"/>
      <c r="Q42" s="9"/>
      <c r="R42" s="10"/>
      <c r="S42" s="11"/>
      <c r="U42" s="9"/>
      <c r="V42" s="10"/>
      <c r="W42" s="11"/>
      <c r="Y42" s="9"/>
      <c r="Z42" s="10"/>
      <c r="AA42" s="11"/>
      <c r="AC42" s="9"/>
      <c r="AD42" s="10"/>
      <c r="AE42" s="11"/>
      <c r="AG42" s="9"/>
      <c r="AH42" s="10"/>
      <c r="AI42" s="11"/>
      <c r="AK42" s="9"/>
      <c r="AL42" s="10"/>
      <c r="AM42" s="11"/>
      <c r="AO42" s="9"/>
      <c r="AP42" s="10"/>
      <c r="AQ42" s="11"/>
      <c r="AS42" s="9"/>
      <c r="AT42" s="10"/>
      <c r="AU42" s="11"/>
      <c r="AW42" s="9"/>
      <c r="AX42" s="10"/>
      <c r="AY42" s="11"/>
      <c r="BA42" s="9"/>
      <c r="BB42" s="10"/>
      <c r="BC42" s="11"/>
      <c r="BE42" s="9"/>
      <c r="BF42" s="10"/>
      <c r="BG42" s="11"/>
      <c r="BI42" s="9"/>
      <c r="BJ42" s="10"/>
      <c r="BK42" s="11"/>
      <c r="BM42" s="9"/>
      <c r="BN42" s="10"/>
      <c r="BO42" s="11"/>
      <c r="BQ42" s="9"/>
      <c r="BR42" s="10"/>
      <c r="BS42" s="11"/>
      <c r="BU42" s="9"/>
      <c r="BV42" s="10"/>
      <c r="BW42" s="11"/>
      <c r="BY42" s="9"/>
      <c r="BZ42" s="10"/>
      <c r="CA42" s="11"/>
      <c r="CC42" s="9"/>
      <c r="CD42" s="10"/>
      <c r="CE42" s="11"/>
      <c r="CG42" s="9"/>
      <c r="CH42" s="10"/>
      <c r="CI42" s="11"/>
      <c r="CK42" s="9"/>
      <c r="CL42" s="10"/>
      <c r="CM42" s="11"/>
      <c r="CO42" s="9"/>
      <c r="CP42" s="10"/>
      <c r="CQ42" s="11"/>
      <c r="CS42" s="9"/>
      <c r="CT42" s="10"/>
      <c r="CU42" s="11"/>
      <c r="CW42" s="9"/>
      <c r="CX42" s="10"/>
      <c r="CY42" s="11"/>
      <c r="DA42" s="9"/>
      <c r="DB42" s="10"/>
      <c r="DC42" s="11"/>
      <c r="DE42" s="9"/>
      <c r="DF42" s="10"/>
      <c r="DG42" s="11"/>
      <c r="DI42" s="9"/>
      <c r="DJ42" s="10"/>
      <c r="DK42" s="11"/>
      <c r="DM42" s="9"/>
      <c r="DN42" s="10"/>
      <c r="DO42" s="11"/>
      <c r="DQ42" s="9"/>
      <c r="DR42" s="10"/>
      <c r="DS42" s="11"/>
      <c r="DU42" s="9"/>
      <c r="DV42" s="10"/>
      <c r="DW42" s="11"/>
      <c r="DY42" s="9"/>
      <c r="DZ42" s="10"/>
      <c r="EA42" s="11"/>
      <c r="EC42" s="9"/>
      <c r="ED42" s="10"/>
      <c r="EE42" s="11"/>
      <c r="EG42" s="9"/>
      <c r="EH42" s="10"/>
      <c r="EI42" s="11"/>
      <c r="EK42" s="9"/>
      <c r="EL42" s="10"/>
      <c r="EM42" s="11"/>
      <c r="EO42" s="9"/>
      <c r="EP42" s="10"/>
      <c r="EQ42" s="11"/>
      <c r="ES42" s="9"/>
      <c r="ET42" s="10"/>
      <c r="EU42" s="11"/>
      <c r="EW42" s="9"/>
      <c r="EX42" s="10"/>
      <c r="EY42" s="11"/>
      <c r="FA42" s="9"/>
      <c r="FB42" s="10"/>
      <c r="FC42" s="11"/>
      <c r="FE42" s="9"/>
      <c r="FF42" s="10"/>
      <c r="FG42" s="11"/>
      <c r="FI42" s="9"/>
      <c r="FJ42" s="10"/>
      <c r="FK42" s="11"/>
      <c r="FM42" s="9"/>
      <c r="FN42" s="10"/>
      <c r="FO42" s="11"/>
      <c r="FQ42" s="9"/>
      <c r="FR42" s="10"/>
      <c r="FS42" s="11"/>
      <c r="FU42" s="9"/>
      <c r="FV42" s="10"/>
      <c r="FW42" s="11"/>
      <c r="FY42" s="9"/>
      <c r="FZ42" s="10"/>
      <c r="GA42" s="11"/>
      <c r="GC42" s="9"/>
      <c r="GD42" s="10"/>
      <c r="GE42" s="11"/>
      <c r="GG42" s="9"/>
      <c r="GH42" s="10"/>
      <c r="GI42" s="11"/>
      <c r="GK42" s="9"/>
      <c r="GL42" s="10"/>
      <c r="GM42" s="11"/>
      <c r="GO42" s="9"/>
      <c r="GP42" s="10"/>
      <c r="GQ42" s="11"/>
      <c r="GS42" s="9"/>
      <c r="GT42" s="10"/>
      <c r="GU42" s="11"/>
    </row>
    <row r="43" spans="1:203">
      <c r="A43" s="9"/>
      <c r="B43" s="10"/>
      <c r="C43" s="11"/>
      <c r="E43" s="9"/>
      <c r="F43" s="10"/>
      <c r="G43" s="11"/>
      <c r="I43" s="9"/>
      <c r="J43" s="10"/>
      <c r="K43" s="11"/>
      <c r="M43" s="9"/>
      <c r="N43" s="10"/>
      <c r="O43" s="11"/>
      <c r="P43" s="12"/>
      <c r="Q43" s="9"/>
      <c r="R43" s="10"/>
      <c r="S43" s="11"/>
      <c r="U43" s="9"/>
      <c r="V43" s="10"/>
      <c r="W43" s="11"/>
      <c r="Y43" s="9"/>
      <c r="Z43" s="10"/>
      <c r="AA43" s="11"/>
      <c r="AC43" s="9"/>
      <c r="AD43" s="10"/>
      <c r="AE43" s="11"/>
      <c r="AG43" s="9"/>
      <c r="AH43" s="10"/>
      <c r="AI43" s="11"/>
      <c r="AK43" s="9"/>
      <c r="AL43" s="10"/>
      <c r="AM43" s="11"/>
      <c r="AO43" s="9"/>
      <c r="AP43" s="10"/>
      <c r="AQ43" s="11"/>
      <c r="AS43" s="9"/>
      <c r="AT43" s="10"/>
      <c r="AU43" s="11"/>
      <c r="AW43" s="9"/>
      <c r="AX43" s="10"/>
      <c r="AY43" s="11"/>
      <c r="BA43" s="9"/>
      <c r="BB43" s="10"/>
      <c r="BC43" s="11"/>
      <c r="BE43" s="9"/>
      <c r="BF43" s="10"/>
      <c r="BG43" s="11"/>
      <c r="BI43" s="9"/>
      <c r="BJ43" s="10"/>
      <c r="BK43" s="11"/>
      <c r="BM43" s="9"/>
      <c r="BN43" s="10"/>
      <c r="BO43" s="11"/>
      <c r="BQ43" s="9"/>
      <c r="BR43" s="10"/>
      <c r="BS43" s="11"/>
      <c r="BU43" s="9"/>
      <c r="BV43" s="10"/>
      <c r="BW43" s="11"/>
      <c r="BY43" s="9"/>
      <c r="BZ43" s="10"/>
      <c r="CA43" s="11"/>
      <c r="CC43" s="9"/>
      <c r="CD43" s="10"/>
      <c r="CE43" s="11"/>
      <c r="CG43" s="9"/>
      <c r="CH43" s="10"/>
      <c r="CI43" s="11"/>
      <c r="CK43" s="9"/>
      <c r="CL43" s="10"/>
      <c r="CM43" s="11"/>
      <c r="CO43" s="9"/>
      <c r="CP43" s="10"/>
      <c r="CQ43" s="11"/>
      <c r="CS43" s="9"/>
      <c r="CT43" s="10"/>
      <c r="CU43" s="11"/>
      <c r="CW43" s="9"/>
      <c r="CX43" s="10"/>
      <c r="CY43" s="11"/>
      <c r="DA43" s="9"/>
      <c r="DB43" s="10"/>
      <c r="DC43" s="11"/>
      <c r="DE43" s="9"/>
      <c r="DF43" s="10"/>
      <c r="DG43" s="11"/>
      <c r="DI43" s="9"/>
      <c r="DJ43" s="10"/>
      <c r="DK43" s="11"/>
      <c r="DM43" s="9"/>
      <c r="DN43" s="10"/>
      <c r="DO43" s="11"/>
      <c r="DQ43" s="9"/>
      <c r="DR43" s="10"/>
      <c r="DS43" s="11"/>
      <c r="DU43" s="9"/>
      <c r="DV43" s="10"/>
      <c r="DW43" s="11"/>
      <c r="DY43" s="9"/>
      <c r="DZ43" s="10"/>
      <c r="EA43" s="11"/>
      <c r="EC43" s="9"/>
      <c r="ED43" s="10"/>
      <c r="EE43" s="11"/>
      <c r="EG43" s="9"/>
      <c r="EH43" s="10"/>
      <c r="EI43" s="11"/>
      <c r="EK43" s="9"/>
      <c r="EL43" s="10"/>
      <c r="EM43" s="11"/>
      <c r="EO43" s="9"/>
      <c r="EP43" s="10"/>
      <c r="EQ43" s="11"/>
      <c r="ES43" s="9"/>
      <c r="ET43" s="10"/>
      <c r="EU43" s="11"/>
      <c r="EW43" s="9"/>
      <c r="EX43" s="10"/>
      <c r="EY43" s="11"/>
      <c r="FA43" s="9"/>
      <c r="FB43" s="10"/>
      <c r="FC43" s="11"/>
      <c r="FE43" s="9"/>
      <c r="FF43" s="10"/>
      <c r="FG43" s="11"/>
      <c r="FI43" s="9"/>
      <c r="FJ43" s="10"/>
      <c r="FK43" s="11"/>
      <c r="FM43" s="9"/>
      <c r="FN43" s="10"/>
      <c r="FO43" s="11"/>
      <c r="FQ43" s="9"/>
      <c r="FR43" s="10"/>
      <c r="FS43" s="11"/>
      <c r="FU43" s="9"/>
      <c r="FV43" s="10"/>
      <c r="FW43" s="11"/>
      <c r="FY43" s="9"/>
      <c r="FZ43" s="10"/>
      <c r="GA43" s="11"/>
      <c r="GC43" s="9"/>
      <c r="GD43" s="10"/>
      <c r="GE43" s="11"/>
      <c r="GG43" s="9"/>
      <c r="GH43" s="10"/>
      <c r="GI43" s="11"/>
      <c r="GK43" s="9"/>
      <c r="GL43" s="10"/>
      <c r="GM43" s="11"/>
      <c r="GO43" s="9"/>
      <c r="GP43" s="10"/>
      <c r="GQ43" s="11"/>
      <c r="GS43" s="9"/>
      <c r="GT43" s="10"/>
      <c r="GU43" s="11"/>
    </row>
    <row r="44" spans="1:203">
      <c r="A44" s="9"/>
      <c r="B44" s="10"/>
      <c r="C44" s="11"/>
      <c r="E44" s="9"/>
      <c r="F44" s="10"/>
      <c r="G44" s="11"/>
      <c r="I44" s="9"/>
      <c r="J44" s="10"/>
      <c r="K44" s="11"/>
      <c r="M44" s="9"/>
      <c r="N44" s="10"/>
      <c r="O44" s="11"/>
      <c r="P44" s="12"/>
      <c r="Q44" s="9"/>
      <c r="R44" s="10"/>
      <c r="S44" s="11"/>
      <c r="U44" s="9"/>
      <c r="V44" s="10"/>
      <c r="W44" s="11"/>
      <c r="Y44" s="9"/>
      <c r="Z44" s="10"/>
      <c r="AA44" s="11"/>
      <c r="AC44" s="9"/>
      <c r="AD44" s="10"/>
      <c r="AE44" s="11"/>
      <c r="AG44" s="9"/>
      <c r="AH44" s="10"/>
      <c r="AI44" s="11"/>
      <c r="AK44" s="9"/>
      <c r="AL44" s="10"/>
      <c r="AM44" s="11"/>
      <c r="AO44" s="9"/>
      <c r="AP44" s="10"/>
      <c r="AQ44" s="11"/>
      <c r="AS44" s="9"/>
      <c r="AT44" s="10"/>
      <c r="AU44" s="11"/>
      <c r="AW44" s="9"/>
      <c r="AX44" s="10"/>
      <c r="AY44" s="11"/>
      <c r="BA44" s="9"/>
      <c r="BB44" s="10"/>
      <c r="BC44" s="11"/>
      <c r="BE44" s="9"/>
      <c r="BF44" s="10"/>
      <c r="BG44" s="11"/>
      <c r="BI44" s="9"/>
      <c r="BJ44" s="10"/>
      <c r="BK44" s="11"/>
      <c r="BM44" s="9"/>
      <c r="BN44" s="10"/>
      <c r="BO44" s="11"/>
      <c r="BQ44" s="9"/>
      <c r="BR44" s="10"/>
      <c r="BS44" s="11"/>
      <c r="BU44" s="9"/>
      <c r="BV44" s="10"/>
      <c r="BW44" s="11"/>
      <c r="BY44" s="9"/>
      <c r="BZ44" s="10"/>
      <c r="CA44" s="11"/>
      <c r="CC44" s="9"/>
      <c r="CD44" s="10"/>
      <c r="CE44" s="11"/>
      <c r="CG44" s="9"/>
      <c r="CH44" s="10"/>
      <c r="CI44" s="11"/>
      <c r="CK44" s="9"/>
      <c r="CL44" s="10"/>
      <c r="CM44" s="11"/>
      <c r="CO44" s="9"/>
      <c r="CP44" s="10"/>
      <c r="CQ44" s="11"/>
      <c r="CS44" s="9"/>
      <c r="CT44" s="10"/>
      <c r="CU44" s="11"/>
      <c r="CW44" s="9"/>
      <c r="CX44" s="10"/>
      <c r="CY44" s="11"/>
      <c r="DA44" s="9"/>
      <c r="DB44" s="10"/>
      <c r="DC44" s="11"/>
      <c r="DE44" s="9"/>
      <c r="DF44" s="10"/>
      <c r="DG44" s="11"/>
      <c r="DI44" s="9"/>
      <c r="DJ44" s="10"/>
      <c r="DK44" s="11"/>
      <c r="DM44" s="9"/>
      <c r="DN44" s="10"/>
      <c r="DO44" s="11"/>
      <c r="DQ44" s="9"/>
      <c r="DR44" s="10"/>
      <c r="DS44" s="11"/>
      <c r="DU44" s="9"/>
      <c r="DV44" s="10"/>
      <c r="DW44" s="11"/>
      <c r="DY44" s="9"/>
      <c r="DZ44" s="10"/>
      <c r="EA44" s="11"/>
      <c r="EC44" s="9"/>
      <c r="ED44" s="10"/>
      <c r="EE44" s="11"/>
      <c r="EG44" s="9"/>
      <c r="EH44" s="10"/>
      <c r="EI44" s="11"/>
      <c r="EK44" s="9"/>
      <c r="EL44" s="10"/>
      <c r="EM44" s="11"/>
      <c r="EO44" s="9"/>
      <c r="EP44" s="10"/>
      <c r="EQ44" s="11"/>
      <c r="ES44" s="9"/>
      <c r="ET44" s="10"/>
      <c r="EU44" s="11"/>
      <c r="EW44" s="9"/>
      <c r="EX44" s="10"/>
      <c r="EY44" s="11"/>
      <c r="FA44" s="9"/>
      <c r="FB44" s="10"/>
      <c r="FC44" s="11"/>
      <c r="FE44" s="9"/>
      <c r="FF44" s="10"/>
      <c r="FG44" s="11"/>
      <c r="FI44" s="9"/>
      <c r="FJ44" s="10"/>
      <c r="FK44" s="11"/>
      <c r="FM44" s="9"/>
      <c r="FN44" s="10"/>
      <c r="FO44" s="11"/>
      <c r="FQ44" s="9"/>
      <c r="FR44" s="10"/>
      <c r="FS44" s="11"/>
      <c r="FU44" s="9"/>
      <c r="FV44" s="10"/>
      <c r="FW44" s="11"/>
      <c r="FY44" s="9"/>
      <c r="FZ44" s="10"/>
      <c r="GA44" s="11"/>
      <c r="GC44" s="9"/>
      <c r="GD44" s="10"/>
      <c r="GE44" s="11"/>
      <c r="GG44" s="9"/>
      <c r="GH44" s="10"/>
      <c r="GI44" s="11"/>
      <c r="GK44" s="9"/>
      <c r="GL44" s="10"/>
      <c r="GM44" s="11"/>
      <c r="GO44" s="9"/>
      <c r="GP44" s="10"/>
      <c r="GQ44" s="11"/>
      <c r="GS44" s="9"/>
      <c r="GT44" s="10"/>
      <c r="GU44" s="11"/>
    </row>
    <row r="45" spans="1:203">
      <c r="A45" s="9"/>
      <c r="B45" s="10"/>
      <c r="C45" s="11"/>
      <c r="E45" s="9"/>
      <c r="F45" s="10"/>
      <c r="G45" s="11"/>
      <c r="I45" s="9"/>
      <c r="J45" s="10"/>
      <c r="K45" s="11"/>
      <c r="M45" s="9"/>
      <c r="N45" s="10"/>
      <c r="O45" s="11"/>
      <c r="P45" s="12"/>
      <c r="Q45" s="9"/>
      <c r="R45" s="10"/>
      <c r="S45" s="11"/>
      <c r="U45" s="9"/>
      <c r="V45" s="10"/>
      <c r="W45" s="11"/>
      <c r="Y45" s="9"/>
      <c r="Z45" s="10"/>
      <c r="AA45" s="11"/>
      <c r="AC45" s="9"/>
      <c r="AD45" s="10"/>
      <c r="AE45" s="11"/>
      <c r="AG45" s="9"/>
      <c r="AH45" s="10"/>
      <c r="AI45" s="11"/>
      <c r="AK45" s="9"/>
      <c r="AL45" s="10"/>
      <c r="AM45" s="11"/>
      <c r="AO45" s="9"/>
      <c r="AP45" s="10"/>
      <c r="AQ45" s="11"/>
      <c r="AS45" s="9"/>
      <c r="AT45" s="10"/>
      <c r="AU45" s="11"/>
      <c r="AW45" s="9"/>
      <c r="AX45" s="10"/>
      <c r="AY45" s="11"/>
      <c r="BA45" s="9"/>
      <c r="BB45" s="10"/>
      <c r="BC45" s="11"/>
      <c r="BE45" s="9"/>
      <c r="BF45" s="10"/>
      <c r="BG45" s="11"/>
      <c r="BI45" s="9"/>
      <c r="BJ45" s="10"/>
      <c r="BK45" s="11"/>
      <c r="BM45" s="9"/>
      <c r="BN45" s="10"/>
      <c r="BO45" s="11"/>
      <c r="BQ45" s="9"/>
      <c r="BR45" s="10"/>
      <c r="BS45" s="11"/>
      <c r="BU45" s="9"/>
      <c r="BV45" s="10"/>
      <c r="BW45" s="11"/>
      <c r="BY45" s="9"/>
      <c r="BZ45" s="10"/>
      <c r="CA45" s="11"/>
      <c r="CC45" s="9"/>
      <c r="CD45" s="10"/>
      <c r="CE45" s="11"/>
      <c r="CG45" s="9"/>
      <c r="CH45" s="10"/>
      <c r="CI45" s="11"/>
      <c r="CK45" s="9"/>
      <c r="CL45" s="10"/>
      <c r="CM45" s="11"/>
      <c r="CO45" s="9"/>
      <c r="CP45" s="10"/>
      <c r="CQ45" s="11"/>
      <c r="CS45" s="9"/>
      <c r="CT45" s="10"/>
      <c r="CU45" s="11"/>
      <c r="CW45" s="9"/>
      <c r="CX45" s="10"/>
      <c r="CY45" s="11"/>
      <c r="DA45" s="9"/>
      <c r="DB45" s="10"/>
      <c r="DC45" s="11"/>
      <c r="DE45" s="9"/>
      <c r="DF45" s="10"/>
      <c r="DG45" s="11"/>
      <c r="DI45" s="9"/>
      <c r="DJ45" s="10"/>
      <c r="DK45" s="11"/>
      <c r="DM45" s="9"/>
      <c r="DN45" s="10"/>
      <c r="DO45" s="11"/>
      <c r="DQ45" s="9"/>
      <c r="DR45" s="10"/>
      <c r="DS45" s="11"/>
      <c r="DU45" s="9"/>
      <c r="DV45" s="10"/>
      <c r="DW45" s="11"/>
      <c r="DY45" s="9"/>
      <c r="DZ45" s="10"/>
      <c r="EA45" s="11"/>
      <c r="EC45" s="9"/>
      <c r="ED45" s="10"/>
      <c r="EE45" s="11"/>
      <c r="EG45" s="9"/>
      <c r="EH45" s="10"/>
      <c r="EI45" s="11"/>
      <c r="EK45" s="9"/>
      <c r="EL45" s="10"/>
      <c r="EM45" s="11"/>
      <c r="EO45" s="9"/>
      <c r="EP45" s="10"/>
      <c r="EQ45" s="11"/>
      <c r="ES45" s="9"/>
      <c r="ET45" s="10"/>
      <c r="EU45" s="11"/>
      <c r="EW45" s="9"/>
      <c r="EX45" s="10"/>
      <c r="EY45" s="11"/>
      <c r="FA45" s="9"/>
      <c r="FB45" s="10"/>
      <c r="FC45" s="11"/>
      <c r="FE45" s="9"/>
      <c r="FF45" s="10"/>
      <c r="FG45" s="11"/>
      <c r="FI45" s="9"/>
      <c r="FJ45" s="10"/>
      <c r="FK45" s="11"/>
      <c r="FM45" s="9"/>
      <c r="FN45" s="10"/>
      <c r="FO45" s="11"/>
      <c r="FQ45" s="9"/>
      <c r="FR45" s="10"/>
      <c r="FS45" s="11"/>
      <c r="FU45" s="9"/>
      <c r="FV45" s="10"/>
      <c r="FW45" s="11"/>
      <c r="FY45" s="9"/>
      <c r="FZ45" s="10"/>
      <c r="GA45" s="11"/>
      <c r="GC45" s="9"/>
      <c r="GD45" s="10"/>
      <c r="GE45" s="11"/>
      <c r="GG45" s="9"/>
      <c r="GH45" s="10"/>
      <c r="GI45" s="11"/>
      <c r="GK45" s="9"/>
      <c r="GL45" s="10"/>
      <c r="GM45" s="11"/>
      <c r="GO45" s="9"/>
      <c r="GP45" s="10"/>
      <c r="GQ45" s="11"/>
      <c r="GS45" s="9"/>
      <c r="GT45" s="10"/>
      <c r="GU45" s="11"/>
    </row>
    <row r="46" spans="1:203">
      <c r="A46" s="9"/>
      <c r="B46" s="10"/>
      <c r="C46" s="11"/>
      <c r="E46" s="9"/>
      <c r="F46" s="10"/>
      <c r="G46" s="11"/>
      <c r="I46" s="9"/>
      <c r="J46" s="10"/>
      <c r="K46" s="11"/>
      <c r="M46" s="9"/>
      <c r="N46" s="10"/>
      <c r="O46" s="11"/>
      <c r="P46" s="12"/>
      <c r="Q46" s="9"/>
      <c r="R46" s="10"/>
      <c r="S46" s="11"/>
      <c r="U46" s="9"/>
      <c r="V46" s="10"/>
      <c r="W46" s="11"/>
      <c r="Y46" s="9"/>
      <c r="Z46" s="10"/>
      <c r="AA46" s="11"/>
      <c r="AC46" s="9"/>
      <c r="AD46" s="10"/>
      <c r="AE46" s="11"/>
      <c r="AG46" s="9"/>
      <c r="AH46" s="10"/>
      <c r="AI46" s="11"/>
      <c r="AK46" s="9"/>
      <c r="AL46" s="10"/>
      <c r="AM46" s="11"/>
      <c r="AO46" s="9"/>
      <c r="AP46" s="10"/>
      <c r="AQ46" s="11"/>
      <c r="AS46" s="9"/>
      <c r="AT46" s="10"/>
      <c r="AU46" s="11"/>
      <c r="AW46" s="9"/>
      <c r="AX46" s="10"/>
      <c r="AY46" s="11"/>
      <c r="BA46" s="9"/>
      <c r="BB46" s="10"/>
      <c r="BC46" s="11"/>
      <c r="BE46" s="9"/>
      <c r="BF46" s="10"/>
      <c r="BG46" s="11"/>
      <c r="BI46" s="9"/>
      <c r="BJ46" s="10"/>
      <c r="BK46" s="11"/>
      <c r="BM46" s="9"/>
      <c r="BN46" s="10"/>
      <c r="BO46" s="11"/>
      <c r="BQ46" s="9"/>
      <c r="BR46" s="10"/>
      <c r="BS46" s="11"/>
      <c r="BU46" s="9"/>
      <c r="BV46" s="10"/>
      <c r="BW46" s="11"/>
      <c r="BY46" s="9"/>
      <c r="BZ46" s="10"/>
      <c r="CA46" s="11"/>
      <c r="CC46" s="9"/>
      <c r="CD46" s="10"/>
      <c r="CE46" s="11"/>
      <c r="CG46" s="9"/>
      <c r="CH46" s="10"/>
      <c r="CI46" s="11"/>
      <c r="CK46" s="9"/>
      <c r="CL46" s="10"/>
      <c r="CM46" s="11"/>
      <c r="CO46" s="9"/>
      <c r="CP46" s="10"/>
      <c r="CQ46" s="11"/>
      <c r="CS46" s="9"/>
      <c r="CT46" s="10"/>
      <c r="CU46" s="11"/>
      <c r="CW46" s="9"/>
      <c r="CX46" s="10"/>
      <c r="CY46" s="11"/>
      <c r="DA46" s="9"/>
      <c r="DB46" s="10"/>
      <c r="DC46" s="11"/>
      <c r="DE46" s="9"/>
      <c r="DF46" s="10"/>
      <c r="DG46" s="11"/>
      <c r="DI46" s="9"/>
      <c r="DJ46" s="10"/>
      <c r="DK46" s="11"/>
      <c r="DM46" s="9"/>
      <c r="DN46" s="10"/>
      <c r="DO46" s="11"/>
      <c r="DQ46" s="9"/>
      <c r="DR46" s="10"/>
      <c r="DS46" s="11"/>
      <c r="DU46" s="9"/>
      <c r="DV46" s="10"/>
      <c r="DW46" s="11"/>
      <c r="DY46" s="9"/>
      <c r="DZ46" s="10"/>
      <c r="EA46" s="11"/>
      <c r="EC46" s="9"/>
      <c r="ED46" s="10"/>
      <c r="EE46" s="11"/>
      <c r="EG46" s="9"/>
      <c r="EH46" s="10"/>
      <c r="EI46" s="11"/>
      <c r="EK46" s="9"/>
      <c r="EL46" s="10"/>
      <c r="EM46" s="11"/>
      <c r="EO46" s="9"/>
      <c r="EP46" s="10"/>
      <c r="EQ46" s="11"/>
      <c r="ES46" s="9"/>
      <c r="ET46" s="10"/>
      <c r="EU46" s="11"/>
      <c r="EW46" s="9"/>
      <c r="EX46" s="10"/>
      <c r="EY46" s="11"/>
      <c r="FA46" s="9"/>
      <c r="FB46" s="10"/>
      <c r="FC46" s="11"/>
      <c r="FE46" s="9"/>
      <c r="FF46" s="10"/>
      <c r="FG46" s="11"/>
      <c r="FI46" s="9"/>
      <c r="FJ46" s="10"/>
      <c r="FK46" s="11"/>
      <c r="FM46" s="9"/>
      <c r="FN46" s="10"/>
      <c r="FO46" s="11"/>
      <c r="FQ46" s="9"/>
      <c r="FR46" s="10"/>
      <c r="FS46" s="11"/>
      <c r="FU46" s="9"/>
      <c r="FV46" s="10"/>
      <c r="FW46" s="11"/>
      <c r="FY46" s="9"/>
      <c r="FZ46" s="10"/>
      <c r="GA46" s="11"/>
      <c r="GC46" s="9"/>
      <c r="GD46" s="10"/>
      <c r="GE46" s="11"/>
      <c r="GG46" s="9"/>
      <c r="GH46" s="10"/>
      <c r="GI46" s="11"/>
      <c r="GK46" s="9"/>
      <c r="GL46" s="10"/>
      <c r="GM46" s="11"/>
      <c r="GO46" s="9"/>
      <c r="GP46" s="10"/>
      <c r="GQ46" s="11"/>
      <c r="GS46" s="9"/>
      <c r="GT46" s="10"/>
      <c r="GU46" s="11"/>
    </row>
    <row r="47" spans="1:203">
      <c r="A47" s="9"/>
      <c r="B47" s="10"/>
      <c r="C47" s="11"/>
      <c r="E47" s="9"/>
      <c r="F47" s="10"/>
      <c r="G47" s="11"/>
      <c r="I47" s="9"/>
      <c r="J47" s="10"/>
      <c r="K47" s="11"/>
      <c r="M47" s="9"/>
      <c r="N47" s="10"/>
      <c r="O47" s="11"/>
      <c r="P47" s="12"/>
      <c r="Q47" s="9"/>
      <c r="R47" s="10"/>
      <c r="S47" s="11"/>
      <c r="U47" s="9"/>
      <c r="V47" s="10"/>
      <c r="W47" s="11"/>
      <c r="Y47" s="9"/>
      <c r="Z47" s="10"/>
      <c r="AA47" s="11"/>
      <c r="AC47" s="9"/>
      <c r="AD47" s="10"/>
      <c r="AE47" s="11"/>
      <c r="AG47" s="9"/>
      <c r="AH47" s="10"/>
      <c r="AI47" s="11"/>
      <c r="AK47" s="9"/>
      <c r="AL47" s="10"/>
      <c r="AM47" s="11"/>
      <c r="AO47" s="9"/>
      <c r="AP47" s="10"/>
      <c r="AQ47" s="11"/>
      <c r="AS47" s="9"/>
      <c r="AT47" s="10"/>
      <c r="AU47" s="11"/>
      <c r="AW47" s="9"/>
      <c r="AX47" s="10"/>
      <c r="AY47" s="11"/>
      <c r="BA47" s="9"/>
      <c r="BB47" s="10"/>
      <c r="BC47" s="11"/>
      <c r="BE47" s="9"/>
      <c r="BF47" s="10"/>
      <c r="BG47" s="11"/>
      <c r="BI47" s="9"/>
      <c r="BJ47" s="10"/>
      <c r="BK47" s="11"/>
      <c r="BM47" s="9"/>
      <c r="BN47" s="10"/>
      <c r="BO47" s="11"/>
      <c r="BQ47" s="9"/>
      <c r="BR47" s="10"/>
      <c r="BS47" s="11"/>
      <c r="BU47" s="9"/>
      <c r="BV47" s="10"/>
      <c r="BW47" s="11"/>
      <c r="BY47" s="9"/>
      <c r="BZ47" s="10"/>
      <c r="CA47" s="11"/>
      <c r="CC47" s="9"/>
      <c r="CD47" s="10"/>
      <c r="CE47" s="11"/>
      <c r="CG47" s="9"/>
      <c r="CH47" s="10"/>
      <c r="CI47" s="11"/>
      <c r="CK47" s="9"/>
      <c r="CL47" s="10"/>
      <c r="CM47" s="11"/>
      <c r="CO47" s="9"/>
      <c r="CP47" s="10"/>
      <c r="CQ47" s="11"/>
      <c r="CS47" s="9"/>
      <c r="CT47" s="10"/>
      <c r="CU47" s="11"/>
      <c r="CW47" s="9"/>
      <c r="CX47" s="10"/>
      <c r="CY47" s="11"/>
      <c r="DA47" s="9"/>
      <c r="DB47" s="10"/>
      <c r="DC47" s="11"/>
      <c r="DE47" s="9"/>
      <c r="DF47" s="10"/>
      <c r="DG47" s="11"/>
      <c r="DI47" s="9"/>
      <c r="DJ47" s="10"/>
      <c r="DK47" s="11"/>
      <c r="DM47" s="9"/>
      <c r="DN47" s="10"/>
      <c r="DO47" s="11"/>
      <c r="DQ47" s="9"/>
      <c r="DR47" s="10"/>
      <c r="DS47" s="11"/>
      <c r="DU47" s="9"/>
      <c r="DV47" s="10"/>
      <c r="DW47" s="11"/>
      <c r="DY47" s="9"/>
      <c r="DZ47" s="10"/>
      <c r="EA47" s="11"/>
      <c r="EC47" s="9"/>
      <c r="ED47" s="10"/>
      <c r="EE47" s="11"/>
      <c r="EG47" s="9"/>
      <c r="EH47" s="10"/>
      <c r="EI47" s="11"/>
      <c r="EK47" s="9"/>
      <c r="EL47" s="10"/>
      <c r="EM47" s="11"/>
      <c r="EO47" s="9"/>
      <c r="EP47" s="10"/>
      <c r="EQ47" s="11"/>
      <c r="ES47" s="9"/>
      <c r="ET47" s="10"/>
      <c r="EU47" s="11"/>
      <c r="EW47" s="9"/>
      <c r="EX47" s="10"/>
      <c r="EY47" s="11"/>
      <c r="FA47" s="9"/>
      <c r="FB47" s="10"/>
      <c r="FC47" s="11"/>
      <c r="FE47" s="9"/>
      <c r="FF47" s="10"/>
      <c r="FG47" s="11"/>
      <c r="FI47" s="9"/>
      <c r="FJ47" s="10"/>
      <c r="FK47" s="11"/>
      <c r="FM47" s="9"/>
      <c r="FN47" s="10"/>
      <c r="FO47" s="11"/>
      <c r="FQ47" s="9"/>
      <c r="FR47" s="10"/>
      <c r="FS47" s="11"/>
      <c r="FU47" s="9"/>
      <c r="FV47" s="10"/>
      <c r="FW47" s="11"/>
      <c r="FY47" s="9"/>
      <c r="FZ47" s="10"/>
      <c r="GA47" s="11"/>
      <c r="GC47" s="9"/>
      <c r="GD47" s="10"/>
      <c r="GE47" s="11"/>
      <c r="GG47" s="9"/>
      <c r="GH47" s="10"/>
      <c r="GI47" s="11"/>
      <c r="GK47" s="9"/>
      <c r="GL47" s="10"/>
      <c r="GM47" s="11"/>
      <c r="GO47" s="9"/>
      <c r="GP47" s="10"/>
      <c r="GQ47" s="11"/>
      <c r="GS47" s="9"/>
      <c r="GT47" s="10"/>
      <c r="GU47" s="11"/>
    </row>
    <row r="48" spans="1:203">
      <c r="A48" s="9"/>
      <c r="B48" s="10"/>
      <c r="C48" s="11"/>
      <c r="E48" s="9"/>
      <c r="F48" s="10"/>
      <c r="G48" s="11"/>
      <c r="I48" s="9"/>
      <c r="J48" s="10"/>
      <c r="K48" s="11"/>
      <c r="M48" s="9"/>
      <c r="N48" s="10"/>
      <c r="O48" s="11"/>
      <c r="P48" s="12"/>
      <c r="Q48" s="9"/>
      <c r="R48" s="10"/>
      <c r="S48" s="11"/>
      <c r="U48" s="9"/>
      <c r="V48" s="10"/>
      <c r="W48" s="11"/>
      <c r="Y48" s="9"/>
      <c r="Z48" s="10"/>
      <c r="AA48" s="11"/>
      <c r="AC48" s="9"/>
      <c r="AD48" s="10"/>
      <c r="AE48" s="11"/>
      <c r="AG48" s="9"/>
      <c r="AH48" s="10"/>
      <c r="AI48" s="11"/>
      <c r="AK48" s="9"/>
      <c r="AL48" s="10"/>
      <c r="AM48" s="11"/>
      <c r="AO48" s="9"/>
      <c r="AP48" s="10"/>
      <c r="AQ48" s="11"/>
      <c r="AS48" s="9"/>
      <c r="AT48" s="10"/>
      <c r="AU48" s="11"/>
      <c r="AW48" s="9"/>
      <c r="AX48" s="10"/>
      <c r="AY48" s="11"/>
      <c r="BA48" s="9"/>
      <c r="BB48" s="10"/>
      <c r="BC48" s="11"/>
      <c r="BE48" s="9"/>
      <c r="BF48" s="10"/>
      <c r="BG48" s="11"/>
      <c r="BI48" s="9"/>
      <c r="BJ48" s="10"/>
      <c r="BK48" s="11"/>
      <c r="BM48" s="9"/>
      <c r="BN48" s="10"/>
      <c r="BO48" s="11"/>
      <c r="BQ48" s="9"/>
      <c r="BR48" s="10"/>
      <c r="BS48" s="11"/>
      <c r="BU48" s="9"/>
      <c r="BV48" s="10"/>
      <c r="BW48" s="11"/>
      <c r="BY48" s="9"/>
      <c r="BZ48" s="10"/>
      <c r="CA48" s="11"/>
      <c r="CC48" s="9"/>
      <c r="CD48" s="10"/>
      <c r="CE48" s="11"/>
      <c r="CG48" s="9"/>
      <c r="CH48" s="10"/>
      <c r="CI48" s="11"/>
      <c r="CK48" s="9"/>
      <c r="CL48" s="10"/>
      <c r="CM48" s="11"/>
      <c r="CO48" s="9"/>
      <c r="CP48" s="10"/>
      <c r="CQ48" s="11"/>
      <c r="CS48" s="9"/>
      <c r="CT48" s="10"/>
      <c r="CU48" s="11"/>
      <c r="CW48" s="9"/>
      <c r="CX48" s="10"/>
      <c r="CY48" s="11"/>
      <c r="DA48" s="9"/>
      <c r="DB48" s="10"/>
      <c r="DC48" s="11"/>
      <c r="DE48" s="9"/>
      <c r="DF48" s="10"/>
      <c r="DG48" s="11"/>
      <c r="DI48" s="9"/>
      <c r="DJ48" s="10"/>
      <c r="DK48" s="11"/>
      <c r="DM48" s="9"/>
      <c r="DN48" s="10"/>
      <c r="DO48" s="11"/>
      <c r="DQ48" s="9"/>
      <c r="DR48" s="10"/>
      <c r="DS48" s="11"/>
      <c r="DU48" s="9"/>
      <c r="DV48" s="10"/>
      <c r="DW48" s="11"/>
      <c r="DY48" s="9"/>
      <c r="DZ48" s="10"/>
      <c r="EA48" s="11"/>
      <c r="EC48" s="9"/>
      <c r="ED48" s="10"/>
      <c r="EE48" s="11"/>
      <c r="EG48" s="9"/>
      <c r="EH48" s="10"/>
      <c r="EI48" s="11"/>
      <c r="EK48" s="9"/>
      <c r="EL48" s="10"/>
      <c r="EM48" s="11"/>
      <c r="EO48" s="9"/>
      <c r="EP48" s="10"/>
      <c r="EQ48" s="11"/>
      <c r="ES48" s="9"/>
      <c r="ET48" s="10"/>
      <c r="EU48" s="11"/>
      <c r="EW48" s="9"/>
      <c r="EX48" s="10"/>
      <c r="EY48" s="11"/>
      <c r="FA48" s="9"/>
      <c r="FB48" s="10"/>
      <c r="FC48" s="11"/>
      <c r="FE48" s="9"/>
      <c r="FF48" s="10"/>
      <c r="FG48" s="11"/>
      <c r="FI48" s="9"/>
      <c r="FJ48" s="10"/>
      <c r="FK48" s="11"/>
      <c r="FM48" s="9"/>
      <c r="FN48" s="10"/>
      <c r="FO48" s="11"/>
      <c r="FQ48" s="9"/>
      <c r="FR48" s="10"/>
      <c r="FS48" s="11"/>
      <c r="FU48" s="9"/>
      <c r="FV48" s="10"/>
      <c r="FW48" s="11"/>
      <c r="FY48" s="9"/>
      <c r="FZ48" s="10"/>
      <c r="GA48" s="11"/>
      <c r="GC48" s="9"/>
      <c r="GD48" s="10"/>
      <c r="GE48" s="11"/>
      <c r="GG48" s="9"/>
      <c r="GH48" s="10"/>
      <c r="GI48" s="11"/>
      <c r="GK48" s="9"/>
      <c r="GL48" s="10"/>
      <c r="GM48" s="11"/>
      <c r="GO48" s="9"/>
      <c r="GP48" s="10"/>
      <c r="GQ48" s="11"/>
      <c r="GS48" s="9"/>
      <c r="GT48" s="10"/>
      <c r="GU48" s="11"/>
    </row>
    <row r="49" spans="1:203">
      <c r="A49" s="9"/>
      <c r="B49" s="10"/>
      <c r="C49" s="11"/>
      <c r="E49" s="9"/>
      <c r="F49" s="10"/>
      <c r="G49" s="11"/>
      <c r="I49" s="9"/>
      <c r="J49" s="10"/>
      <c r="K49" s="11"/>
      <c r="M49" s="9"/>
      <c r="N49" s="10"/>
      <c r="O49" s="11"/>
      <c r="P49" s="12"/>
      <c r="Q49" s="9"/>
      <c r="R49" s="10"/>
      <c r="S49" s="11"/>
      <c r="U49" s="9"/>
      <c r="V49" s="10"/>
      <c r="W49" s="11"/>
      <c r="Y49" s="9"/>
      <c r="Z49" s="10"/>
      <c r="AA49" s="11"/>
      <c r="AC49" s="9"/>
      <c r="AD49" s="10"/>
      <c r="AE49" s="11"/>
      <c r="AG49" s="9"/>
      <c r="AH49" s="10"/>
      <c r="AI49" s="11"/>
      <c r="AK49" s="9"/>
      <c r="AL49" s="10"/>
      <c r="AM49" s="11"/>
      <c r="AO49" s="9"/>
      <c r="AP49" s="10"/>
      <c r="AQ49" s="11"/>
      <c r="AS49" s="9"/>
      <c r="AT49" s="10"/>
      <c r="AU49" s="11"/>
      <c r="AW49" s="9"/>
      <c r="AX49" s="10"/>
      <c r="AY49" s="11"/>
      <c r="BA49" s="9"/>
      <c r="BB49" s="10"/>
      <c r="BC49" s="11"/>
      <c r="BE49" s="9"/>
      <c r="BF49" s="10"/>
      <c r="BG49" s="11"/>
      <c r="BI49" s="9"/>
      <c r="BJ49" s="10"/>
      <c r="BK49" s="11"/>
      <c r="BM49" s="9"/>
      <c r="BN49" s="10"/>
      <c r="BO49" s="11"/>
      <c r="BQ49" s="9"/>
      <c r="BR49" s="10"/>
      <c r="BS49" s="11"/>
      <c r="BU49" s="9"/>
      <c r="BV49" s="10"/>
      <c r="BW49" s="11"/>
      <c r="BY49" s="9"/>
      <c r="BZ49" s="10"/>
      <c r="CA49" s="11"/>
      <c r="CC49" s="9"/>
      <c r="CD49" s="10"/>
      <c r="CE49" s="11"/>
      <c r="CG49" s="9"/>
      <c r="CH49" s="10"/>
      <c r="CI49" s="11"/>
      <c r="CK49" s="9"/>
      <c r="CL49" s="10"/>
      <c r="CM49" s="11"/>
      <c r="CO49" s="9"/>
      <c r="CP49" s="10"/>
      <c r="CQ49" s="11"/>
      <c r="CS49" s="9"/>
      <c r="CT49" s="10"/>
      <c r="CU49" s="11"/>
      <c r="CW49" s="9"/>
      <c r="CX49" s="10"/>
      <c r="CY49" s="11"/>
      <c r="DA49" s="9"/>
      <c r="DB49" s="10"/>
      <c r="DC49" s="11"/>
      <c r="DE49" s="9"/>
      <c r="DF49" s="10"/>
      <c r="DG49" s="11"/>
      <c r="DI49" s="9"/>
      <c r="DJ49" s="10"/>
      <c r="DK49" s="11"/>
      <c r="DM49" s="9"/>
      <c r="DN49" s="10"/>
      <c r="DO49" s="11"/>
      <c r="DQ49" s="9"/>
      <c r="DR49" s="10"/>
      <c r="DS49" s="11"/>
      <c r="DU49" s="9"/>
      <c r="DV49" s="10"/>
      <c r="DW49" s="11"/>
      <c r="DY49" s="9"/>
      <c r="DZ49" s="10"/>
      <c r="EA49" s="11"/>
      <c r="EC49" s="9"/>
      <c r="ED49" s="10"/>
      <c r="EE49" s="11"/>
      <c r="EG49" s="9"/>
      <c r="EH49" s="10"/>
      <c r="EI49" s="11"/>
      <c r="EK49" s="9"/>
      <c r="EL49" s="10"/>
      <c r="EM49" s="11"/>
      <c r="EO49" s="9"/>
      <c r="EP49" s="10"/>
      <c r="EQ49" s="11"/>
      <c r="ES49" s="9"/>
      <c r="ET49" s="10"/>
      <c r="EU49" s="11"/>
      <c r="EW49" s="9"/>
      <c r="EX49" s="10"/>
      <c r="EY49" s="11"/>
      <c r="FA49" s="9"/>
      <c r="FB49" s="10"/>
      <c r="FC49" s="11"/>
      <c r="FE49" s="9"/>
      <c r="FF49" s="10"/>
      <c r="FG49" s="11"/>
      <c r="FI49" s="9"/>
      <c r="FJ49" s="10"/>
      <c r="FK49" s="11"/>
      <c r="FM49" s="9"/>
      <c r="FN49" s="10"/>
      <c r="FO49" s="11"/>
      <c r="FQ49" s="9"/>
      <c r="FR49" s="10"/>
      <c r="FS49" s="11"/>
      <c r="FU49" s="9"/>
      <c r="FV49" s="10"/>
      <c r="FW49" s="11"/>
      <c r="FY49" s="9"/>
      <c r="FZ49" s="10"/>
      <c r="GA49" s="11"/>
      <c r="GC49" s="9"/>
      <c r="GD49" s="10"/>
      <c r="GE49" s="11"/>
      <c r="GG49" s="9"/>
      <c r="GH49" s="10"/>
      <c r="GI49" s="11"/>
      <c r="GK49" s="9"/>
      <c r="GL49" s="10"/>
      <c r="GM49" s="11"/>
      <c r="GO49" s="9"/>
      <c r="GP49" s="10"/>
      <c r="GQ49" s="11"/>
      <c r="GS49" s="9"/>
      <c r="GT49" s="10"/>
      <c r="GU49" s="11"/>
    </row>
    <row r="50" spans="1:203">
      <c r="A50" s="9"/>
      <c r="B50" s="10"/>
      <c r="C50" s="11"/>
      <c r="E50" s="9"/>
      <c r="F50" s="10"/>
      <c r="G50" s="11"/>
      <c r="I50" s="9"/>
      <c r="J50" s="10"/>
      <c r="K50" s="11"/>
      <c r="M50" s="9"/>
      <c r="N50" s="10"/>
      <c r="O50" s="11"/>
      <c r="P50" s="12"/>
      <c r="Q50" s="9"/>
      <c r="R50" s="10"/>
      <c r="S50" s="11"/>
      <c r="U50" s="9"/>
      <c r="V50" s="10"/>
      <c r="W50" s="11"/>
      <c r="Y50" s="9"/>
      <c r="Z50" s="10"/>
      <c r="AA50" s="11"/>
      <c r="AC50" s="9"/>
      <c r="AD50" s="10"/>
      <c r="AE50" s="11"/>
      <c r="AG50" s="9"/>
      <c r="AH50" s="10"/>
      <c r="AI50" s="11"/>
      <c r="AK50" s="9"/>
      <c r="AL50" s="10"/>
      <c r="AM50" s="11"/>
      <c r="AO50" s="9"/>
      <c r="AP50" s="10"/>
      <c r="AQ50" s="11"/>
      <c r="AS50" s="9"/>
      <c r="AT50" s="10"/>
      <c r="AU50" s="11"/>
      <c r="AW50" s="9"/>
      <c r="AX50" s="10"/>
      <c r="AY50" s="11"/>
      <c r="BA50" s="9"/>
      <c r="BB50" s="10"/>
      <c r="BC50" s="11"/>
      <c r="BE50" s="9"/>
      <c r="BF50" s="10"/>
      <c r="BG50" s="11"/>
      <c r="BI50" s="9"/>
      <c r="BJ50" s="10"/>
      <c r="BK50" s="11"/>
      <c r="BM50" s="9"/>
      <c r="BN50" s="10"/>
      <c r="BO50" s="11"/>
      <c r="BQ50" s="9"/>
      <c r="BR50" s="10"/>
      <c r="BS50" s="11"/>
      <c r="BU50" s="9"/>
      <c r="BV50" s="10"/>
      <c r="BW50" s="11"/>
      <c r="BY50" s="9"/>
      <c r="BZ50" s="10"/>
      <c r="CA50" s="11"/>
      <c r="CC50" s="9"/>
      <c r="CD50" s="10"/>
      <c r="CE50" s="11"/>
      <c r="CG50" s="9"/>
      <c r="CH50" s="10"/>
      <c r="CI50" s="11"/>
      <c r="CK50" s="9"/>
      <c r="CL50" s="10"/>
      <c r="CM50" s="11"/>
      <c r="CO50" s="9"/>
      <c r="CP50" s="10"/>
      <c r="CQ50" s="11"/>
      <c r="CS50" s="9"/>
      <c r="CT50" s="10"/>
      <c r="CU50" s="11"/>
      <c r="CW50" s="9"/>
      <c r="CX50" s="10"/>
      <c r="CY50" s="11"/>
      <c r="DA50" s="9"/>
      <c r="DB50" s="10"/>
      <c r="DC50" s="11"/>
      <c r="DE50" s="9"/>
      <c r="DF50" s="10"/>
      <c r="DG50" s="11"/>
      <c r="DI50" s="9"/>
      <c r="DJ50" s="10"/>
      <c r="DK50" s="11"/>
      <c r="DM50" s="9"/>
      <c r="DN50" s="10"/>
      <c r="DO50" s="11"/>
      <c r="DQ50" s="9"/>
      <c r="DR50" s="10"/>
      <c r="DS50" s="11"/>
      <c r="DU50" s="9"/>
      <c r="DV50" s="10"/>
      <c r="DW50" s="11"/>
      <c r="DY50" s="9"/>
      <c r="DZ50" s="10"/>
      <c r="EA50" s="11"/>
      <c r="EC50" s="9"/>
      <c r="ED50" s="10"/>
      <c r="EE50" s="11"/>
      <c r="EG50" s="9"/>
      <c r="EH50" s="10"/>
      <c r="EI50" s="11"/>
      <c r="EK50" s="9"/>
      <c r="EL50" s="10"/>
      <c r="EM50" s="11"/>
      <c r="EO50" s="9"/>
      <c r="EP50" s="10"/>
      <c r="EQ50" s="11"/>
      <c r="ES50" s="9"/>
      <c r="ET50" s="10"/>
      <c r="EU50" s="11"/>
      <c r="EW50" s="9"/>
      <c r="EX50" s="10"/>
      <c r="EY50" s="11"/>
      <c r="FA50" s="9"/>
      <c r="FB50" s="10"/>
      <c r="FC50" s="11"/>
      <c r="FE50" s="9"/>
      <c r="FF50" s="10"/>
      <c r="FG50" s="11"/>
      <c r="FI50" s="9"/>
      <c r="FJ50" s="10"/>
      <c r="FK50" s="11"/>
      <c r="FM50" s="9"/>
      <c r="FN50" s="10"/>
      <c r="FO50" s="11"/>
      <c r="FQ50" s="9"/>
      <c r="FR50" s="10"/>
      <c r="FS50" s="11"/>
      <c r="FU50" s="9"/>
      <c r="FV50" s="10"/>
      <c r="FW50" s="11"/>
      <c r="FY50" s="9"/>
      <c r="FZ50" s="10"/>
      <c r="GA50" s="11"/>
      <c r="GC50" s="9"/>
      <c r="GD50" s="10"/>
      <c r="GE50" s="11"/>
      <c r="GG50" s="9"/>
      <c r="GH50" s="10"/>
      <c r="GI50" s="11"/>
      <c r="GK50" s="9"/>
      <c r="GL50" s="10"/>
      <c r="GM50" s="11"/>
      <c r="GO50" s="9"/>
      <c r="GP50" s="10"/>
      <c r="GQ50" s="11"/>
      <c r="GS50" s="9"/>
      <c r="GT50" s="10"/>
      <c r="GU50" s="11"/>
    </row>
    <row r="51" spans="1:203">
      <c r="A51" s="9"/>
      <c r="B51" s="10"/>
      <c r="C51" s="11"/>
      <c r="E51" s="9"/>
      <c r="F51" s="10"/>
      <c r="G51" s="11"/>
      <c r="I51" s="9"/>
      <c r="J51" s="10"/>
      <c r="K51" s="11"/>
      <c r="M51" s="9"/>
      <c r="N51" s="10"/>
      <c r="O51" s="11"/>
      <c r="P51" s="12"/>
      <c r="Q51" s="9"/>
      <c r="R51" s="10"/>
      <c r="S51" s="11"/>
      <c r="U51" s="9"/>
      <c r="V51" s="10"/>
      <c r="W51" s="11"/>
      <c r="Y51" s="9"/>
      <c r="Z51" s="10"/>
      <c r="AA51" s="11"/>
      <c r="AC51" s="9"/>
      <c r="AD51" s="10"/>
      <c r="AE51" s="11"/>
      <c r="AG51" s="9"/>
      <c r="AH51" s="10"/>
      <c r="AI51" s="11"/>
      <c r="AK51" s="9"/>
      <c r="AL51" s="10"/>
      <c r="AM51" s="11"/>
      <c r="AO51" s="9"/>
      <c r="AP51" s="10"/>
      <c r="AQ51" s="11"/>
      <c r="AS51" s="9"/>
      <c r="AT51" s="10"/>
      <c r="AU51" s="11"/>
      <c r="AW51" s="9"/>
      <c r="AX51" s="10"/>
      <c r="AY51" s="11"/>
      <c r="BA51" s="9"/>
      <c r="BB51" s="10"/>
      <c r="BC51" s="11"/>
      <c r="BE51" s="9"/>
      <c r="BF51" s="10"/>
      <c r="BG51" s="11"/>
      <c r="BI51" s="9"/>
      <c r="BJ51" s="10"/>
      <c r="BK51" s="11"/>
      <c r="BM51" s="9"/>
      <c r="BN51" s="10"/>
      <c r="BO51" s="11"/>
      <c r="BQ51" s="9"/>
      <c r="BR51" s="10"/>
      <c r="BS51" s="11"/>
      <c r="BU51" s="9"/>
      <c r="BV51" s="10"/>
      <c r="BW51" s="11"/>
      <c r="BY51" s="9"/>
      <c r="BZ51" s="10"/>
      <c r="CA51" s="11"/>
      <c r="CC51" s="9"/>
      <c r="CD51" s="10"/>
      <c r="CE51" s="11"/>
      <c r="CG51" s="9"/>
      <c r="CH51" s="10"/>
      <c r="CI51" s="11"/>
      <c r="CK51" s="9"/>
      <c r="CL51" s="10"/>
      <c r="CM51" s="11"/>
      <c r="CO51" s="9"/>
      <c r="CP51" s="10"/>
      <c r="CQ51" s="11"/>
      <c r="CS51" s="9"/>
      <c r="CT51" s="10"/>
      <c r="CU51" s="11"/>
      <c r="CW51" s="9"/>
      <c r="CX51" s="10"/>
      <c r="CY51" s="11"/>
      <c r="DA51" s="9"/>
      <c r="DB51" s="10"/>
      <c r="DC51" s="11"/>
      <c r="DE51" s="9"/>
      <c r="DF51" s="10"/>
      <c r="DG51" s="11"/>
      <c r="DI51" s="9"/>
      <c r="DJ51" s="10"/>
      <c r="DK51" s="11"/>
      <c r="DM51" s="9"/>
      <c r="DN51" s="10"/>
      <c r="DO51" s="11"/>
      <c r="DQ51" s="9"/>
      <c r="DR51" s="10"/>
      <c r="DS51" s="11"/>
      <c r="DU51" s="9"/>
      <c r="DV51" s="10"/>
      <c r="DW51" s="11"/>
      <c r="DY51" s="9"/>
      <c r="DZ51" s="10"/>
      <c r="EA51" s="11"/>
      <c r="EC51" s="9"/>
      <c r="ED51" s="10"/>
      <c r="EE51" s="11"/>
      <c r="EG51" s="9"/>
      <c r="EH51" s="10"/>
      <c r="EI51" s="11"/>
      <c r="EK51" s="9"/>
      <c r="EL51" s="10"/>
      <c r="EM51" s="11"/>
      <c r="EO51" s="9"/>
      <c r="EP51" s="10"/>
      <c r="EQ51" s="11"/>
      <c r="ES51" s="9"/>
      <c r="ET51" s="10"/>
      <c r="EU51" s="11"/>
      <c r="EW51" s="9"/>
      <c r="EX51" s="10"/>
      <c r="EY51" s="11"/>
      <c r="FA51" s="9"/>
      <c r="FB51" s="10"/>
      <c r="FC51" s="11"/>
      <c r="FE51" s="9"/>
      <c r="FF51" s="10"/>
      <c r="FG51" s="11"/>
      <c r="FI51" s="9"/>
      <c r="FJ51" s="10"/>
      <c r="FK51" s="11"/>
      <c r="FM51" s="9"/>
      <c r="FN51" s="10"/>
      <c r="FO51" s="11"/>
      <c r="FQ51" s="9"/>
      <c r="FR51" s="10"/>
      <c r="FS51" s="11"/>
      <c r="FU51" s="9"/>
      <c r="FV51" s="10"/>
      <c r="FW51" s="11"/>
      <c r="FY51" s="9"/>
      <c r="FZ51" s="10"/>
      <c r="GA51" s="11"/>
      <c r="GC51" s="9"/>
      <c r="GD51" s="10"/>
      <c r="GE51" s="11"/>
      <c r="GG51" s="9"/>
      <c r="GH51" s="10"/>
      <c r="GI51" s="11"/>
      <c r="GK51" s="9"/>
      <c r="GL51" s="10"/>
      <c r="GM51" s="11"/>
      <c r="GO51" s="9"/>
      <c r="GP51" s="10"/>
      <c r="GQ51" s="11"/>
      <c r="GS51" s="9"/>
      <c r="GT51" s="10"/>
      <c r="GU51" s="11"/>
    </row>
    <row r="52" spans="1:203">
      <c r="A52" s="9"/>
      <c r="B52" s="10"/>
      <c r="C52" s="11"/>
      <c r="E52" s="9"/>
      <c r="F52" s="10"/>
      <c r="G52" s="11"/>
      <c r="I52" s="9"/>
      <c r="J52" s="10"/>
      <c r="K52" s="11"/>
      <c r="M52" s="9"/>
      <c r="N52" s="10"/>
      <c r="O52" s="11"/>
      <c r="P52" s="12"/>
      <c r="Q52" s="9"/>
      <c r="R52" s="10"/>
      <c r="S52" s="11"/>
      <c r="U52" s="9"/>
      <c r="V52" s="10"/>
      <c r="W52" s="11"/>
      <c r="Y52" s="9"/>
      <c r="Z52" s="10"/>
      <c r="AA52" s="11"/>
      <c r="AC52" s="9"/>
      <c r="AD52" s="10"/>
      <c r="AE52" s="11"/>
      <c r="AG52" s="9"/>
      <c r="AH52" s="10"/>
      <c r="AI52" s="11"/>
      <c r="AK52" s="9"/>
      <c r="AL52" s="10"/>
      <c r="AM52" s="11"/>
      <c r="AO52" s="9"/>
      <c r="AP52" s="10"/>
      <c r="AQ52" s="11"/>
      <c r="AS52" s="9"/>
      <c r="AT52" s="10"/>
      <c r="AU52" s="11"/>
      <c r="AW52" s="9"/>
      <c r="AX52" s="10"/>
      <c r="AY52" s="11"/>
      <c r="BA52" s="9"/>
      <c r="BB52" s="10"/>
      <c r="BC52" s="11"/>
      <c r="BE52" s="9"/>
      <c r="BF52" s="10"/>
      <c r="BG52" s="11"/>
      <c r="BI52" s="9"/>
      <c r="BJ52" s="10"/>
      <c r="BK52" s="11"/>
      <c r="BM52" s="9"/>
      <c r="BN52" s="10"/>
      <c r="BO52" s="11"/>
      <c r="BQ52" s="9"/>
      <c r="BR52" s="10"/>
      <c r="BS52" s="11"/>
      <c r="BU52" s="9"/>
      <c r="BV52" s="10"/>
      <c r="BW52" s="11"/>
      <c r="BY52" s="9"/>
      <c r="BZ52" s="10"/>
      <c r="CA52" s="11"/>
      <c r="CC52" s="9"/>
      <c r="CD52" s="10"/>
      <c r="CE52" s="11"/>
      <c r="CG52" s="9"/>
      <c r="CH52" s="10"/>
      <c r="CI52" s="11"/>
      <c r="CK52" s="9"/>
      <c r="CL52" s="10"/>
      <c r="CM52" s="11"/>
      <c r="CO52" s="9"/>
      <c r="CP52" s="10"/>
      <c r="CQ52" s="11"/>
      <c r="CS52" s="9"/>
      <c r="CT52" s="10"/>
      <c r="CU52" s="11"/>
      <c r="CW52" s="9"/>
      <c r="CX52" s="10"/>
      <c r="CY52" s="11"/>
      <c r="DA52" s="9"/>
      <c r="DB52" s="10"/>
      <c r="DC52" s="11"/>
      <c r="DE52" s="9"/>
      <c r="DF52" s="10"/>
      <c r="DG52" s="11"/>
      <c r="DI52" s="9"/>
      <c r="DJ52" s="10"/>
      <c r="DK52" s="11"/>
      <c r="DM52" s="9"/>
      <c r="DN52" s="10"/>
      <c r="DO52" s="11"/>
      <c r="DQ52" s="9"/>
      <c r="DR52" s="10"/>
      <c r="DS52" s="11"/>
      <c r="DU52" s="9"/>
      <c r="DV52" s="10"/>
      <c r="DW52" s="11"/>
      <c r="DY52" s="9"/>
      <c r="DZ52" s="10"/>
      <c r="EA52" s="11"/>
      <c r="EC52" s="9"/>
      <c r="ED52" s="10"/>
      <c r="EE52" s="11"/>
      <c r="EG52" s="9"/>
      <c r="EH52" s="10"/>
      <c r="EI52" s="11"/>
      <c r="EK52" s="9"/>
      <c r="EL52" s="10"/>
      <c r="EM52" s="11"/>
      <c r="EO52" s="9"/>
      <c r="EP52" s="10"/>
      <c r="EQ52" s="11"/>
      <c r="ES52" s="9"/>
      <c r="ET52" s="10"/>
      <c r="EU52" s="11"/>
      <c r="EW52" s="9"/>
      <c r="EX52" s="10"/>
      <c r="EY52" s="11"/>
      <c r="FA52" s="9"/>
      <c r="FB52" s="10"/>
      <c r="FC52" s="11"/>
      <c r="FE52" s="9"/>
      <c r="FF52" s="10"/>
      <c r="FG52" s="11"/>
      <c r="FI52" s="9"/>
      <c r="FJ52" s="10"/>
      <c r="FK52" s="11"/>
      <c r="FM52" s="9"/>
      <c r="FN52" s="10"/>
      <c r="FO52" s="11"/>
      <c r="FQ52" s="9"/>
      <c r="FR52" s="10"/>
      <c r="FS52" s="11"/>
      <c r="FU52" s="9"/>
      <c r="FV52" s="10"/>
      <c r="FW52" s="11"/>
      <c r="FY52" s="9"/>
      <c r="FZ52" s="10"/>
      <c r="GA52" s="11"/>
      <c r="GC52" s="9"/>
      <c r="GD52" s="10"/>
      <c r="GE52" s="11"/>
      <c r="GG52" s="9"/>
      <c r="GH52" s="10"/>
      <c r="GI52" s="11"/>
      <c r="GK52" s="9"/>
      <c r="GL52" s="10"/>
      <c r="GM52" s="11"/>
      <c r="GO52" s="9"/>
      <c r="GP52" s="10"/>
      <c r="GQ52" s="11"/>
      <c r="GS52" s="9"/>
      <c r="GT52" s="10"/>
      <c r="GU52" s="11"/>
    </row>
    <row r="53" spans="1:203">
      <c r="A53" s="9"/>
      <c r="B53" s="10"/>
      <c r="C53" s="11"/>
      <c r="E53" s="9"/>
      <c r="F53" s="10"/>
      <c r="G53" s="11"/>
      <c r="I53" s="9"/>
      <c r="J53" s="10"/>
      <c r="K53" s="11"/>
      <c r="M53" s="9"/>
      <c r="N53" s="10"/>
      <c r="O53" s="11"/>
      <c r="P53" s="12"/>
      <c r="Q53" s="9"/>
      <c r="R53" s="10"/>
      <c r="S53" s="11"/>
      <c r="U53" s="9"/>
      <c r="V53" s="10"/>
      <c r="W53" s="11"/>
      <c r="Y53" s="9"/>
      <c r="Z53" s="10"/>
      <c r="AA53" s="11"/>
      <c r="AC53" s="9"/>
      <c r="AD53" s="10"/>
      <c r="AE53" s="11"/>
      <c r="AG53" s="9"/>
      <c r="AH53" s="10"/>
      <c r="AI53" s="11"/>
      <c r="AK53" s="9"/>
      <c r="AL53" s="10"/>
      <c r="AM53" s="11"/>
      <c r="AO53" s="9"/>
      <c r="AP53" s="10"/>
      <c r="AQ53" s="11"/>
      <c r="AS53" s="9"/>
      <c r="AT53" s="10"/>
      <c r="AU53" s="11"/>
      <c r="AW53" s="9"/>
      <c r="AX53" s="10"/>
      <c r="AY53" s="11"/>
      <c r="BA53" s="9"/>
      <c r="BB53" s="10"/>
      <c r="BC53" s="11"/>
      <c r="BE53" s="9"/>
      <c r="BF53" s="10"/>
      <c r="BG53" s="11"/>
      <c r="BI53" s="9"/>
      <c r="BJ53" s="10"/>
      <c r="BK53" s="11"/>
      <c r="BM53" s="9"/>
      <c r="BN53" s="10"/>
      <c r="BO53" s="11"/>
      <c r="BQ53" s="9"/>
      <c r="BR53" s="10"/>
      <c r="BS53" s="11"/>
      <c r="BU53" s="9"/>
      <c r="BV53" s="10"/>
      <c r="BW53" s="11"/>
      <c r="BY53" s="9"/>
      <c r="BZ53" s="10"/>
      <c r="CA53" s="11"/>
      <c r="CC53" s="9"/>
      <c r="CD53" s="10"/>
      <c r="CE53" s="11"/>
      <c r="CG53" s="9"/>
      <c r="CH53" s="10"/>
      <c r="CI53" s="11"/>
      <c r="CK53" s="9"/>
      <c r="CL53" s="10"/>
      <c r="CM53" s="11"/>
      <c r="CO53" s="9"/>
      <c r="CP53" s="10"/>
      <c r="CQ53" s="11"/>
      <c r="CS53" s="9"/>
      <c r="CT53" s="10"/>
      <c r="CU53" s="11"/>
      <c r="CW53" s="9"/>
      <c r="CX53" s="10"/>
      <c r="CY53" s="11"/>
      <c r="DA53" s="9"/>
      <c r="DB53" s="10"/>
      <c r="DC53" s="11"/>
      <c r="DE53" s="9"/>
      <c r="DF53" s="10"/>
      <c r="DG53" s="11"/>
      <c r="DI53" s="9"/>
      <c r="DJ53" s="10"/>
      <c r="DK53" s="11"/>
      <c r="DM53" s="9"/>
      <c r="DN53" s="10"/>
      <c r="DO53" s="11"/>
      <c r="DQ53" s="9"/>
      <c r="DR53" s="10"/>
      <c r="DS53" s="11"/>
      <c r="DU53" s="9"/>
      <c r="DV53" s="10"/>
      <c r="DW53" s="11"/>
      <c r="DY53" s="9"/>
      <c r="DZ53" s="10"/>
      <c r="EA53" s="11"/>
      <c r="EC53" s="9"/>
      <c r="ED53" s="10"/>
      <c r="EE53" s="11"/>
      <c r="EG53" s="9"/>
      <c r="EH53" s="10"/>
      <c r="EI53" s="11"/>
      <c r="EK53" s="9"/>
      <c r="EL53" s="10"/>
      <c r="EM53" s="11"/>
      <c r="EO53" s="9"/>
      <c r="EP53" s="10"/>
      <c r="EQ53" s="11"/>
      <c r="ES53" s="9"/>
      <c r="ET53" s="10"/>
      <c r="EU53" s="11"/>
      <c r="EW53" s="9"/>
      <c r="EX53" s="10"/>
      <c r="EY53" s="11"/>
      <c r="FA53" s="9"/>
      <c r="FB53" s="10"/>
      <c r="FC53" s="11"/>
      <c r="FE53" s="9"/>
      <c r="FF53" s="10"/>
      <c r="FG53" s="11"/>
      <c r="FI53" s="9"/>
      <c r="FJ53" s="10"/>
      <c r="FK53" s="11"/>
      <c r="FM53" s="9"/>
      <c r="FN53" s="10"/>
      <c r="FO53" s="11"/>
      <c r="FQ53" s="9"/>
      <c r="FR53" s="10"/>
      <c r="FS53" s="11"/>
      <c r="FU53" s="9"/>
      <c r="FV53" s="10"/>
      <c r="FW53" s="11"/>
      <c r="FY53" s="9"/>
      <c r="FZ53" s="10"/>
      <c r="GA53" s="11"/>
      <c r="GC53" s="9"/>
      <c r="GD53" s="10"/>
      <c r="GE53" s="11"/>
      <c r="GG53" s="9"/>
      <c r="GH53" s="10"/>
      <c r="GI53" s="11"/>
      <c r="GK53" s="9"/>
      <c r="GL53" s="10"/>
      <c r="GM53" s="11"/>
      <c r="GO53" s="9"/>
      <c r="GP53" s="10"/>
      <c r="GQ53" s="11"/>
      <c r="GS53" s="9"/>
      <c r="GT53" s="10"/>
      <c r="GU53" s="11"/>
    </row>
    <row r="54" spans="1:203">
      <c r="A54" s="9"/>
      <c r="B54" s="10"/>
      <c r="C54" s="11"/>
      <c r="E54" s="9"/>
      <c r="F54" s="10"/>
      <c r="G54" s="11"/>
      <c r="I54" s="9"/>
      <c r="J54" s="10"/>
      <c r="K54" s="11"/>
      <c r="M54" s="9"/>
      <c r="N54" s="10"/>
      <c r="O54" s="11"/>
      <c r="P54" s="12"/>
      <c r="Q54" s="9"/>
      <c r="R54" s="10"/>
      <c r="S54" s="11"/>
      <c r="U54" s="9"/>
      <c r="V54" s="10"/>
      <c r="W54" s="11"/>
      <c r="Y54" s="9"/>
      <c r="Z54" s="10"/>
      <c r="AA54" s="11"/>
      <c r="AC54" s="9"/>
      <c r="AD54" s="10"/>
      <c r="AE54" s="11"/>
      <c r="AG54" s="9"/>
      <c r="AH54" s="10"/>
      <c r="AI54" s="11"/>
      <c r="AK54" s="9"/>
      <c r="AL54" s="10"/>
      <c r="AM54" s="11"/>
      <c r="AO54" s="9"/>
      <c r="AP54" s="10"/>
      <c r="AQ54" s="11"/>
      <c r="AS54" s="9"/>
      <c r="AT54" s="10"/>
      <c r="AU54" s="11"/>
      <c r="AW54" s="9"/>
      <c r="AX54" s="10"/>
      <c r="AY54" s="11"/>
      <c r="BA54" s="9"/>
      <c r="BB54" s="10"/>
      <c r="BC54" s="11"/>
      <c r="BE54" s="9"/>
      <c r="BF54" s="10"/>
      <c r="BG54" s="11"/>
      <c r="BI54" s="9"/>
      <c r="BJ54" s="10"/>
      <c r="BK54" s="11"/>
      <c r="BM54" s="9"/>
      <c r="BN54" s="10"/>
      <c r="BO54" s="11"/>
      <c r="BQ54" s="9"/>
      <c r="BR54" s="10"/>
      <c r="BS54" s="11"/>
      <c r="BU54" s="9"/>
      <c r="BV54" s="10"/>
      <c r="BW54" s="11"/>
      <c r="BY54" s="9"/>
      <c r="BZ54" s="10"/>
      <c r="CA54" s="11"/>
      <c r="CC54" s="9"/>
      <c r="CD54" s="10"/>
      <c r="CE54" s="11"/>
      <c r="CG54" s="9"/>
      <c r="CH54" s="10"/>
      <c r="CI54" s="11"/>
      <c r="CK54" s="9"/>
      <c r="CL54" s="10"/>
      <c r="CM54" s="11"/>
      <c r="CO54" s="9"/>
      <c r="CP54" s="10"/>
      <c r="CQ54" s="11"/>
      <c r="CS54" s="9"/>
      <c r="CT54" s="10"/>
      <c r="CU54" s="11"/>
      <c r="CW54" s="9"/>
      <c r="CX54" s="10"/>
      <c r="CY54" s="11"/>
      <c r="DA54" s="9"/>
      <c r="DB54" s="10"/>
      <c r="DC54" s="11"/>
      <c r="DE54" s="9"/>
      <c r="DF54" s="10"/>
      <c r="DG54" s="11"/>
      <c r="DI54" s="9"/>
      <c r="DJ54" s="10"/>
      <c r="DK54" s="11"/>
      <c r="DM54" s="9"/>
      <c r="DN54" s="10"/>
      <c r="DO54" s="11"/>
      <c r="DQ54" s="9"/>
      <c r="DR54" s="10"/>
      <c r="DS54" s="11"/>
      <c r="DU54" s="9"/>
      <c r="DV54" s="10"/>
      <c r="DW54" s="11"/>
      <c r="DY54" s="9"/>
      <c r="DZ54" s="10"/>
      <c r="EA54" s="11"/>
      <c r="EC54" s="9"/>
      <c r="ED54" s="10"/>
      <c r="EE54" s="11"/>
      <c r="EG54" s="9"/>
      <c r="EH54" s="10"/>
      <c r="EI54" s="11"/>
      <c r="EK54" s="9"/>
      <c r="EL54" s="10"/>
      <c r="EM54" s="11"/>
      <c r="EO54" s="9"/>
      <c r="EP54" s="10"/>
      <c r="EQ54" s="11"/>
      <c r="ES54" s="9"/>
      <c r="ET54" s="10"/>
      <c r="EU54" s="11"/>
      <c r="EW54" s="9"/>
      <c r="EX54" s="10"/>
      <c r="EY54" s="11"/>
      <c r="FA54" s="9"/>
      <c r="FB54" s="10"/>
      <c r="FC54" s="11"/>
      <c r="FE54" s="9"/>
      <c r="FF54" s="10"/>
      <c r="FG54" s="11"/>
      <c r="FI54" s="9"/>
      <c r="FJ54" s="10"/>
      <c r="FK54" s="11"/>
      <c r="FM54" s="9"/>
      <c r="FN54" s="10"/>
      <c r="FO54" s="11"/>
      <c r="FQ54" s="9"/>
      <c r="FR54" s="10"/>
      <c r="FS54" s="11"/>
      <c r="FU54" s="9"/>
      <c r="FV54" s="10"/>
      <c r="FW54" s="11"/>
      <c r="FY54" s="9"/>
      <c r="FZ54" s="10"/>
      <c r="GA54" s="11"/>
      <c r="GC54" s="9"/>
      <c r="GD54" s="10"/>
      <c r="GE54" s="11"/>
      <c r="GG54" s="9"/>
      <c r="GH54" s="10"/>
      <c r="GI54" s="11"/>
      <c r="GK54" s="9"/>
      <c r="GL54" s="10"/>
      <c r="GM54" s="11"/>
      <c r="GO54" s="9"/>
      <c r="GP54" s="10"/>
      <c r="GQ54" s="11"/>
      <c r="GS54" s="9"/>
      <c r="GT54" s="10"/>
      <c r="GU54" s="11"/>
    </row>
    <row r="55" spans="1:203">
      <c r="A55" s="9"/>
      <c r="B55" s="10"/>
      <c r="C55" s="11"/>
      <c r="E55" s="9"/>
      <c r="F55" s="10"/>
      <c r="G55" s="11"/>
      <c r="I55" s="9"/>
      <c r="J55" s="10"/>
      <c r="K55" s="11"/>
      <c r="M55" s="9"/>
      <c r="N55" s="10"/>
      <c r="O55" s="11"/>
      <c r="P55" s="12"/>
      <c r="Q55" s="9"/>
      <c r="R55" s="10"/>
      <c r="S55" s="11"/>
      <c r="U55" s="9"/>
      <c r="V55" s="10"/>
      <c r="W55" s="11"/>
      <c r="Y55" s="9"/>
      <c r="Z55" s="10"/>
      <c r="AA55" s="11"/>
      <c r="AC55" s="9"/>
      <c r="AD55" s="10"/>
      <c r="AE55" s="11"/>
      <c r="AG55" s="9"/>
      <c r="AH55" s="10"/>
      <c r="AI55" s="11"/>
      <c r="AK55" s="9"/>
      <c r="AL55" s="10"/>
      <c r="AM55" s="11"/>
      <c r="AO55" s="9"/>
      <c r="AP55" s="10"/>
      <c r="AQ55" s="11"/>
      <c r="AS55" s="9"/>
      <c r="AT55" s="10"/>
      <c r="AU55" s="11"/>
      <c r="AW55" s="9"/>
      <c r="AX55" s="10"/>
      <c r="AY55" s="11"/>
      <c r="BA55" s="9"/>
      <c r="BB55" s="10"/>
      <c r="BC55" s="11"/>
      <c r="BE55" s="9"/>
      <c r="BF55" s="10"/>
      <c r="BG55" s="11"/>
      <c r="BI55" s="9"/>
      <c r="BJ55" s="10"/>
      <c r="BK55" s="11"/>
      <c r="BM55" s="9"/>
      <c r="BN55" s="10"/>
      <c r="BO55" s="11"/>
      <c r="BQ55" s="9"/>
      <c r="BR55" s="10"/>
      <c r="BS55" s="11"/>
      <c r="BU55" s="9"/>
      <c r="BV55" s="10"/>
      <c r="BW55" s="11"/>
      <c r="BY55" s="9"/>
      <c r="BZ55" s="10"/>
      <c r="CA55" s="11"/>
      <c r="CC55" s="9"/>
      <c r="CD55" s="10"/>
      <c r="CE55" s="11"/>
      <c r="CG55" s="9"/>
      <c r="CH55" s="10"/>
      <c r="CI55" s="11"/>
      <c r="CK55" s="9"/>
      <c r="CL55" s="10"/>
      <c r="CM55" s="11"/>
      <c r="CO55" s="9"/>
      <c r="CP55" s="10"/>
      <c r="CQ55" s="11"/>
      <c r="CS55" s="9"/>
      <c r="CT55" s="10"/>
      <c r="CU55" s="11"/>
      <c r="CW55" s="9"/>
      <c r="CX55" s="10"/>
      <c r="CY55" s="11"/>
      <c r="DA55" s="9"/>
      <c r="DB55" s="10"/>
      <c r="DC55" s="11"/>
      <c r="DE55" s="9"/>
      <c r="DF55" s="10"/>
      <c r="DG55" s="11"/>
      <c r="DI55" s="9"/>
      <c r="DJ55" s="10"/>
      <c r="DK55" s="11"/>
      <c r="DM55" s="9"/>
      <c r="DN55" s="10"/>
      <c r="DO55" s="11"/>
      <c r="DQ55" s="9"/>
      <c r="DR55" s="10"/>
      <c r="DS55" s="11"/>
      <c r="DU55" s="9"/>
      <c r="DV55" s="10"/>
      <c r="DW55" s="11"/>
      <c r="DY55" s="9"/>
      <c r="DZ55" s="10"/>
      <c r="EA55" s="11"/>
      <c r="EC55" s="9"/>
      <c r="ED55" s="10"/>
      <c r="EE55" s="11"/>
      <c r="EG55" s="9"/>
      <c r="EH55" s="10"/>
      <c r="EI55" s="11"/>
      <c r="EK55" s="9"/>
      <c r="EL55" s="10"/>
      <c r="EM55" s="11"/>
      <c r="EO55" s="9"/>
      <c r="EP55" s="10"/>
      <c r="EQ55" s="11"/>
      <c r="ES55" s="9"/>
      <c r="ET55" s="10"/>
      <c r="EU55" s="11"/>
      <c r="EW55" s="9"/>
      <c r="EX55" s="10"/>
      <c r="EY55" s="11"/>
      <c r="FA55" s="9"/>
      <c r="FB55" s="10"/>
      <c r="FC55" s="11"/>
      <c r="FE55" s="9"/>
      <c r="FF55" s="10"/>
      <c r="FG55" s="11"/>
      <c r="FI55" s="9"/>
      <c r="FJ55" s="10"/>
      <c r="FK55" s="11"/>
      <c r="FM55" s="9"/>
      <c r="FN55" s="10"/>
      <c r="FO55" s="11"/>
      <c r="FQ55" s="9"/>
      <c r="FR55" s="10"/>
      <c r="FS55" s="11"/>
      <c r="FU55" s="9"/>
      <c r="FV55" s="10"/>
      <c r="FW55" s="11"/>
      <c r="FY55" s="9"/>
      <c r="FZ55" s="10"/>
      <c r="GA55" s="11"/>
      <c r="GC55" s="9"/>
      <c r="GD55" s="10"/>
      <c r="GE55" s="11"/>
      <c r="GG55" s="9"/>
      <c r="GH55" s="10"/>
      <c r="GI55" s="11"/>
      <c r="GK55" s="9"/>
      <c r="GL55" s="10"/>
      <c r="GM55" s="11"/>
      <c r="GO55" s="9"/>
      <c r="GP55" s="10"/>
      <c r="GQ55" s="11"/>
      <c r="GS55" s="9"/>
      <c r="GT55" s="10"/>
      <c r="GU55" s="11"/>
    </row>
    <row r="56" spans="1:203">
      <c r="A56" s="9"/>
      <c r="B56" s="10"/>
      <c r="C56" s="11"/>
      <c r="E56" s="9"/>
      <c r="F56" s="10"/>
      <c r="G56" s="11"/>
      <c r="I56" s="9"/>
      <c r="J56" s="10"/>
      <c r="K56" s="11"/>
      <c r="M56" s="9"/>
      <c r="N56" s="10"/>
      <c r="O56" s="11"/>
      <c r="P56" s="12"/>
      <c r="Q56" s="9"/>
      <c r="R56" s="10"/>
      <c r="S56" s="11"/>
      <c r="U56" s="9"/>
      <c r="V56" s="10"/>
      <c r="W56" s="11"/>
      <c r="Y56" s="9"/>
      <c r="Z56" s="10"/>
      <c r="AA56" s="11"/>
      <c r="AC56" s="9"/>
      <c r="AD56" s="10"/>
      <c r="AE56" s="11"/>
      <c r="AG56" s="9"/>
      <c r="AH56" s="10"/>
      <c r="AI56" s="11"/>
      <c r="AK56" s="9"/>
      <c r="AL56" s="10"/>
      <c r="AM56" s="11"/>
      <c r="AO56" s="9"/>
      <c r="AP56" s="10"/>
      <c r="AQ56" s="11"/>
      <c r="AS56" s="9"/>
      <c r="AT56" s="10"/>
      <c r="AU56" s="11"/>
      <c r="AW56" s="9"/>
      <c r="AX56" s="10"/>
      <c r="AY56" s="11"/>
      <c r="BA56" s="9"/>
      <c r="BB56" s="10"/>
      <c r="BC56" s="11"/>
      <c r="BE56" s="9"/>
      <c r="BF56" s="10"/>
      <c r="BG56" s="11"/>
      <c r="BI56" s="9"/>
      <c r="BJ56" s="10"/>
      <c r="BK56" s="11"/>
      <c r="BM56" s="9"/>
      <c r="BN56" s="10"/>
      <c r="BO56" s="11"/>
      <c r="BQ56" s="9"/>
      <c r="BR56" s="10"/>
      <c r="BS56" s="11"/>
      <c r="BU56" s="9"/>
      <c r="BV56" s="10"/>
      <c r="BW56" s="11"/>
      <c r="BY56" s="9"/>
      <c r="BZ56" s="10"/>
      <c r="CA56" s="11"/>
      <c r="CC56" s="9"/>
      <c r="CD56" s="10"/>
      <c r="CE56" s="11"/>
      <c r="CG56" s="9"/>
      <c r="CH56" s="10"/>
      <c r="CI56" s="11"/>
      <c r="CK56" s="9"/>
      <c r="CL56" s="10"/>
      <c r="CM56" s="11"/>
      <c r="CO56" s="9"/>
      <c r="CP56" s="10"/>
      <c r="CQ56" s="11"/>
      <c r="CS56" s="9"/>
      <c r="CT56" s="10"/>
      <c r="CU56" s="11"/>
      <c r="CW56" s="9"/>
      <c r="CX56" s="10"/>
      <c r="CY56" s="11"/>
      <c r="DA56" s="9"/>
      <c r="DB56" s="10"/>
      <c r="DC56" s="11"/>
      <c r="DE56" s="9"/>
      <c r="DF56" s="10"/>
      <c r="DG56" s="11"/>
      <c r="DI56" s="9"/>
      <c r="DJ56" s="10"/>
      <c r="DK56" s="11"/>
      <c r="DM56" s="9"/>
      <c r="DN56" s="10"/>
      <c r="DO56" s="11"/>
      <c r="DQ56" s="9"/>
      <c r="DR56" s="10"/>
      <c r="DS56" s="11"/>
      <c r="DU56" s="9"/>
      <c r="DV56" s="10"/>
      <c r="DW56" s="11"/>
      <c r="DY56" s="9"/>
      <c r="DZ56" s="10"/>
      <c r="EA56" s="11"/>
      <c r="EC56" s="9"/>
      <c r="ED56" s="10"/>
      <c r="EE56" s="11"/>
      <c r="EG56" s="9"/>
      <c r="EH56" s="10"/>
      <c r="EI56" s="11"/>
      <c r="EK56" s="9"/>
      <c r="EL56" s="10"/>
      <c r="EM56" s="11"/>
      <c r="EO56" s="9"/>
      <c r="EP56" s="10"/>
      <c r="EQ56" s="11"/>
      <c r="ES56" s="9"/>
      <c r="ET56" s="10"/>
      <c r="EU56" s="11"/>
      <c r="EW56" s="9"/>
      <c r="EX56" s="10"/>
      <c r="EY56" s="11"/>
      <c r="FA56" s="9"/>
      <c r="FB56" s="10"/>
      <c r="FC56" s="11"/>
      <c r="FE56" s="9"/>
      <c r="FF56" s="10"/>
      <c r="FG56" s="11"/>
      <c r="FI56" s="9"/>
      <c r="FJ56" s="10"/>
      <c r="FK56" s="11"/>
      <c r="FM56" s="9"/>
      <c r="FN56" s="10"/>
      <c r="FO56" s="11"/>
      <c r="FQ56" s="9"/>
      <c r="FR56" s="10"/>
      <c r="FS56" s="11"/>
      <c r="FU56" s="9"/>
      <c r="FV56" s="10"/>
      <c r="FW56" s="11"/>
      <c r="FY56" s="9"/>
      <c r="FZ56" s="10"/>
      <c r="GA56" s="11"/>
      <c r="GC56" s="9"/>
      <c r="GD56" s="10"/>
      <c r="GE56" s="11"/>
      <c r="GG56" s="9"/>
      <c r="GH56" s="10"/>
      <c r="GI56" s="11"/>
      <c r="GK56" s="9"/>
      <c r="GL56" s="10"/>
      <c r="GM56" s="11"/>
      <c r="GO56" s="9"/>
      <c r="GP56" s="10"/>
      <c r="GQ56" s="11"/>
      <c r="GS56" s="9"/>
      <c r="GT56" s="10"/>
      <c r="GU56" s="11"/>
    </row>
    <row r="57" spans="1:203">
      <c r="A57" s="9"/>
      <c r="B57" s="10"/>
      <c r="C57" s="11"/>
      <c r="E57" s="9"/>
      <c r="F57" s="10"/>
      <c r="G57" s="11"/>
      <c r="I57" s="9"/>
      <c r="J57" s="10"/>
      <c r="K57" s="11"/>
      <c r="M57" s="9"/>
      <c r="N57" s="10"/>
      <c r="O57" s="11"/>
      <c r="P57" s="12"/>
      <c r="Q57" s="9"/>
      <c r="R57" s="10"/>
      <c r="S57" s="11"/>
      <c r="U57" s="9"/>
      <c r="V57" s="10"/>
      <c r="W57" s="11"/>
      <c r="Y57" s="9"/>
      <c r="Z57" s="10"/>
      <c r="AA57" s="11"/>
      <c r="AC57" s="9"/>
      <c r="AD57" s="10"/>
      <c r="AE57" s="11"/>
      <c r="AG57" s="9"/>
      <c r="AH57" s="10"/>
      <c r="AI57" s="11"/>
      <c r="AK57" s="9"/>
      <c r="AL57" s="10"/>
      <c r="AM57" s="11"/>
      <c r="AO57" s="9"/>
      <c r="AP57" s="10"/>
      <c r="AQ57" s="11"/>
      <c r="AS57" s="9"/>
      <c r="AT57" s="10"/>
      <c r="AU57" s="11"/>
      <c r="AW57" s="9"/>
      <c r="AX57" s="10"/>
      <c r="AY57" s="11"/>
      <c r="BA57" s="9"/>
      <c r="BB57" s="10"/>
      <c r="BC57" s="11"/>
      <c r="BE57" s="9"/>
      <c r="BF57" s="10"/>
      <c r="BG57" s="11"/>
      <c r="BI57" s="9"/>
      <c r="BJ57" s="10"/>
      <c r="BK57" s="11"/>
      <c r="BM57" s="9"/>
      <c r="BN57" s="10"/>
      <c r="BO57" s="11"/>
      <c r="BQ57" s="9"/>
      <c r="BR57" s="10"/>
      <c r="BS57" s="11"/>
      <c r="BU57" s="9"/>
      <c r="BV57" s="10"/>
      <c r="BW57" s="11"/>
      <c r="BY57" s="9"/>
      <c r="BZ57" s="10"/>
      <c r="CA57" s="11"/>
      <c r="CC57" s="9"/>
      <c r="CD57" s="10"/>
      <c r="CE57" s="11"/>
      <c r="CG57" s="9"/>
      <c r="CH57" s="10"/>
      <c r="CI57" s="11"/>
      <c r="CK57" s="9"/>
      <c r="CL57" s="10"/>
      <c r="CM57" s="11"/>
      <c r="CO57" s="9"/>
      <c r="CP57" s="10"/>
      <c r="CQ57" s="11"/>
      <c r="CS57" s="9"/>
      <c r="CT57" s="10"/>
      <c r="CU57" s="11"/>
      <c r="CW57" s="9"/>
      <c r="CX57" s="10"/>
      <c r="CY57" s="11"/>
      <c r="DA57" s="9"/>
      <c r="DB57" s="10"/>
      <c r="DC57" s="11"/>
      <c r="DE57" s="9"/>
      <c r="DF57" s="10"/>
      <c r="DG57" s="11"/>
      <c r="DI57" s="9"/>
      <c r="DJ57" s="10"/>
      <c r="DK57" s="11"/>
      <c r="DM57" s="9"/>
      <c r="DN57" s="10"/>
      <c r="DO57" s="11"/>
      <c r="DQ57" s="9"/>
      <c r="DR57" s="10"/>
      <c r="DS57" s="11"/>
      <c r="DU57" s="9"/>
      <c r="DV57" s="10"/>
      <c r="DW57" s="11"/>
      <c r="DY57" s="9"/>
      <c r="DZ57" s="10"/>
      <c r="EA57" s="11"/>
      <c r="EC57" s="9"/>
      <c r="ED57" s="10"/>
      <c r="EE57" s="11"/>
      <c r="EG57" s="9"/>
      <c r="EH57" s="10"/>
      <c r="EI57" s="11"/>
      <c r="EK57" s="9"/>
      <c r="EL57" s="10"/>
      <c r="EM57" s="11"/>
      <c r="EO57" s="9"/>
      <c r="EP57" s="10"/>
      <c r="EQ57" s="11"/>
      <c r="ES57" s="9"/>
      <c r="ET57" s="10"/>
      <c r="EU57" s="11"/>
      <c r="EW57" s="9"/>
      <c r="EX57" s="10"/>
      <c r="EY57" s="11"/>
      <c r="FA57" s="9"/>
      <c r="FB57" s="10"/>
      <c r="FC57" s="11"/>
      <c r="FE57" s="9"/>
      <c r="FF57" s="10"/>
      <c r="FG57" s="11"/>
      <c r="FI57" s="9"/>
      <c r="FJ57" s="10"/>
      <c r="FK57" s="11"/>
      <c r="FM57" s="9"/>
      <c r="FN57" s="10"/>
      <c r="FO57" s="11"/>
      <c r="FQ57" s="9"/>
      <c r="FR57" s="10"/>
      <c r="FS57" s="11"/>
      <c r="FU57" s="9"/>
      <c r="FV57" s="10"/>
      <c r="FW57" s="11"/>
      <c r="FY57" s="9"/>
      <c r="FZ57" s="10"/>
      <c r="GA57" s="11"/>
      <c r="GC57" s="9"/>
      <c r="GD57" s="10"/>
      <c r="GE57" s="11"/>
      <c r="GG57" s="9"/>
      <c r="GH57" s="10"/>
      <c r="GI57" s="11"/>
      <c r="GK57" s="9"/>
      <c r="GL57" s="10"/>
      <c r="GM57" s="11"/>
      <c r="GO57" s="9"/>
      <c r="GP57" s="10"/>
      <c r="GQ57" s="11"/>
      <c r="GS57" s="9"/>
      <c r="GT57" s="10"/>
      <c r="GU57" s="11"/>
    </row>
    <row r="58" spans="1:203">
      <c r="A58" s="9"/>
      <c r="B58" s="10"/>
      <c r="C58" s="11"/>
      <c r="E58" s="9"/>
      <c r="F58" s="10"/>
      <c r="G58" s="11"/>
      <c r="I58" s="9"/>
      <c r="J58" s="10"/>
      <c r="K58" s="11"/>
      <c r="M58" s="9"/>
      <c r="N58" s="10"/>
      <c r="O58" s="11"/>
      <c r="P58" s="12"/>
      <c r="Q58" s="9"/>
      <c r="R58" s="10"/>
      <c r="S58" s="11"/>
      <c r="U58" s="9"/>
      <c r="V58" s="10"/>
      <c r="W58" s="11"/>
      <c r="Y58" s="9"/>
      <c r="Z58" s="10"/>
      <c r="AA58" s="11"/>
      <c r="AC58" s="9"/>
      <c r="AD58" s="10"/>
      <c r="AE58" s="11"/>
      <c r="AG58" s="9"/>
      <c r="AH58" s="10"/>
      <c r="AI58" s="11"/>
      <c r="AK58" s="9"/>
      <c r="AL58" s="10"/>
      <c r="AM58" s="11"/>
      <c r="AO58" s="9"/>
      <c r="AP58" s="10"/>
      <c r="AQ58" s="11"/>
      <c r="AS58" s="9"/>
      <c r="AT58" s="10"/>
      <c r="AU58" s="11"/>
      <c r="AW58" s="9"/>
      <c r="AX58" s="10"/>
      <c r="AY58" s="11"/>
      <c r="BA58" s="9"/>
      <c r="BB58" s="10"/>
      <c r="BC58" s="11"/>
      <c r="BE58" s="9"/>
      <c r="BF58" s="10"/>
      <c r="BG58" s="11"/>
      <c r="BI58" s="9"/>
      <c r="BJ58" s="10"/>
      <c r="BK58" s="11"/>
      <c r="BM58" s="9"/>
      <c r="BN58" s="10"/>
      <c r="BO58" s="11"/>
      <c r="BQ58" s="9"/>
      <c r="BR58" s="10"/>
      <c r="BS58" s="11"/>
      <c r="BU58" s="9"/>
      <c r="BV58" s="10"/>
      <c r="BW58" s="11"/>
      <c r="BY58" s="9"/>
      <c r="BZ58" s="10"/>
      <c r="CA58" s="11"/>
      <c r="CC58" s="9"/>
      <c r="CD58" s="10"/>
      <c r="CE58" s="11"/>
      <c r="CG58" s="9"/>
      <c r="CH58" s="10"/>
      <c r="CI58" s="11"/>
      <c r="CK58" s="9"/>
      <c r="CL58" s="10"/>
      <c r="CM58" s="11"/>
      <c r="CO58" s="9"/>
      <c r="CP58" s="10"/>
      <c r="CQ58" s="11"/>
      <c r="CS58" s="9"/>
      <c r="CT58" s="10"/>
      <c r="CU58" s="11"/>
      <c r="CW58" s="9"/>
      <c r="CX58" s="10"/>
      <c r="CY58" s="11"/>
      <c r="DA58" s="9"/>
      <c r="DB58" s="10"/>
      <c r="DC58" s="11"/>
      <c r="DE58" s="9"/>
      <c r="DF58" s="10"/>
      <c r="DG58" s="11"/>
      <c r="DI58" s="9"/>
      <c r="DJ58" s="10"/>
      <c r="DK58" s="11"/>
      <c r="DM58" s="9"/>
      <c r="DN58" s="10"/>
      <c r="DO58" s="11"/>
      <c r="DQ58" s="9"/>
      <c r="DR58" s="10"/>
      <c r="DS58" s="11"/>
      <c r="DU58" s="9"/>
      <c r="DV58" s="10"/>
      <c r="DW58" s="11"/>
      <c r="DY58" s="9"/>
      <c r="DZ58" s="10"/>
      <c r="EA58" s="11"/>
      <c r="EC58" s="9"/>
      <c r="ED58" s="10"/>
      <c r="EE58" s="11"/>
      <c r="EG58" s="9"/>
      <c r="EH58" s="10"/>
      <c r="EI58" s="11"/>
      <c r="EK58" s="9"/>
      <c r="EL58" s="10"/>
      <c r="EM58" s="11"/>
      <c r="EO58" s="9"/>
      <c r="EP58" s="10"/>
      <c r="EQ58" s="11"/>
      <c r="ES58" s="9"/>
      <c r="ET58" s="10"/>
      <c r="EU58" s="11"/>
      <c r="EW58" s="9"/>
      <c r="EX58" s="10"/>
      <c r="EY58" s="11"/>
      <c r="FA58" s="9"/>
      <c r="FB58" s="10"/>
      <c r="FC58" s="11"/>
      <c r="FE58" s="9"/>
      <c r="FF58" s="10"/>
      <c r="FG58" s="11"/>
      <c r="FI58" s="9"/>
      <c r="FJ58" s="10"/>
      <c r="FK58" s="11"/>
      <c r="FM58" s="9"/>
      <c r="FN58" s="10"/>
      <c r="FO58" s="11"/>
      <c r="FQ58" s="9"/>
      <c r="FR58" s="10"/>
      <c r="FS58" s="11"/>
      <c r="FU58" s="9"/>
      <c r="FV58" s="10"/>
      <c r="FW58" s="11"/>
      <c r="FY58" s="9"/>
      <c r="FZ58" s="10"/>
      <c r="GA58" s="11"/>
      <c r="GC58" s="9"/>
      <c r="GD58" s="10"/>
      <c r="GE58" s="11"/>
      <c r="GG58" s="9"/>
      <c r="GH58" s="10"/>
      <c r="GI58" s="11"/>
      <c r="GK58" s="9"/>
      <c r="GL58" s="10"/>
      <c r="GM58" s="11"/>
      <c r="GO58" s="9"/>
      <c r="GP58" s="10"/>
      <c r="GQ58" s="11"/>
      <c r="GS58" s="9"/>
      <c r="GT58" s="10"/>
      <c r="GU58" s="11"/>
    </row>
    <row r="59" spans="1:203">
      <c r="A59" s="9"/>
      <c r="B59" s="10"/>
      <c r="C59" s="11"/>
      <c r="E59" s="9"/>
      <c r="F59" s="10"/>
      <c r="G59" s="11"/>
      <c r="I59" s="9"/>
      <c r="J59" s="10"/>
      <c r="K59" s="11"/>
      <c r="M59" s="9"/>
      <c r="N59" s="10"/>
      <c r="O59" s="11"/>
      <c r="P59" s="12"/>
      <c r="Q59" s="9"/>
      <c r="R59" s="10"/>
      <c r="S59" s="11"/>
      <c r="U59" s="9"/>
      <c r="V59" s="10"/>
      <c r="W59" s="11"/>
      <c r="Y59" s="9"/>
      <c r="Z59" s="10"/>
      <c r="AA59" s="11"/>
      <c r="AC59" s="9"/>
      <c r="AD59" s="10"/>
      <c r="AE59" s="11"/>
      <c r="AG59" s="9"/>
      <c r="AH59" s="10"/>
      <c r="AI59" s="11"/>
      <c r="AK59" s="9"/>
      <c r="AL59" s="10"/>
      <c r="AM59" s="11"/>
      <c r="AO59" s="9"/>
      <c r="AP59" s="10"/>
      <c r="AQ59" s="11"/>
      <c r="AS59" s="9"/>
      <c r="AT59" s="10"/>
      <c r="AU59" s="11"/>
      <c r="AW59" s="9"/>
      <c r="AX59" s="10"/>
      <c r="AY59" s="11"/>
      <c r="BA59" s="9"/>
      <c r="BB59" s="10"/>
      <c r="BC59" s="11"/>
      <c r="BE59" s="9"/>
      <c r="BF59" s="10"/>
      <c r="BG59" s="11"/>
      <c r="BI59" s="9"/>
      <c r="BJ59" s="10"/>
      <c r="BK59" s="11"/>
      <c r="BM59" s="9"/>
      <c r="BN59" s="10"/>
      <c r="BO59" s="11"/>
      <c r="BQ59" s="9"/>
      <c r="BR59" s="10"/>
      <c r="BS59" s="11"/>
      <c r="BU59" s="9"/>
      <c r="BV59" s="10"/>
      <c r="BW59" s="11"/>
      <c r="BY59" s="9"/>
      <c r="BZ59" s="10"/>
      <c r="CA59" s="11"/>
      <c r="CC59" s="9"/>
      <c r="CD59" s="10"/>
      <c r="CE59" s="11"/>
      <c r="CG59" s="9"/>
      <c r="CH59" s="10"/>
      <c r="CI59" s="11"/>
      <c r="CK59" s="9"/>
      <c r="CL59" s="10"/>
      <c r="CM59" s="11"/>
      <c r="CO59" s="9"/>
      <c r="CP59" s="10"/>
      <c r="CQ59" s="11"/>
      <c r="CS59" s="9"/>
      <c r="CT59" s="10"/>
      <c r="CU59" s="11"/>
      <c r="CW59" s="9"/>
      <c r="CX59" s="10"/>
      <c r="CY59" s="11"/>
      <c r="DA59" s="9"/>
      <c r="DB59" s="10"/>
      <c r="DC59" s="11"/>
      <c r="DE59" s="9"/>
      <c r="DF59" s="10"/>
      <c r="DG59" s="11"/>
      <c r="DI59" s="9"/>
      <c r="DJ59" s="10"/>
      <c r="DK59" s="11"/>
      <c r="DM59" s="9"/>
      <c r="DN59" s="10"/>
      <c r="DO59" s="11"/>
      <c r="DQ59" s="9"/>
      <c r="DR59" s="10"/>
      <c r="DS59" s="11"/>
      <c r="DU59" s="9"/>
      <c r="DV59" s="10"/>
      <c r="DW59" s="11"/>
      <c r="DY59" s="9"/>
      <c r="DZ59" s="10"/>
      <c r="EA59" s="11"/>
      <c r="EC59" s="9"/>
      <c r="ED59" s="10"/>
      <c r="EE59" s="11"/>
      <c r="EG59" s="9"/>
      <c r="EH59" s="10"/>
      <c r="EI59" s="11"/>
      <c r="EK59" s="9"/>
      <c r="EL59" s="10"/>
      <c r="EM59" s="11"/>
      <c r="EO59" s="9"/>
      <c r="EP59" s="10"/>
      <c r="EQ59" s="11"/>
      <c r="ES59" s="9"/>
      <c r="ET59" s="10"/>
      <c r="EU59" s="11"/>
      <c r="EW59" s="9"/>
      <c r="EX59" s="10"/>
      <c r="EY59" s="11"/>
      <c r="FA59" s="9"/>
      <c r="FB59" s="10"/>
      <c r="FC59" s="11"/>
      <c r="FE59" s="9"/>
      <c r="FF59" s="10"/>
      <c r="FG59" s="11"/>
      <c r="FI59" s="9"/>
      <c r="FJ59" s="10"/>
      <c r="FK59" s="11"/>
      <c r="FM59" s="9"/>
      <c r="FN59" s="10"/>
      <c r="FO59" s="11"/>
      <c r="FQ59" s="9"/>
      <c r="FR59" s="10"/>
      <c r="FS59" s="11"/>
      <c r="FU59" s="9"/>
      <c r="FV59" s="10"/>
      <c r="FW59" s="11"/>
      <c r="FY59" s="9"/>
      <c r="FZ59" s="10"/>
      <c r="GA59" s="11"/>
      <c r="GC59" s="9"/>
      <c r="GD59" s="10"/>
      <c r="GE59" s="11"/>
      <c r="GG59" s="9"/>
      <c r="GH59" s="10"/>
      <c r="GI59" s="11"/>
      <c r="GK59" s="9"/>
      <c r="GL59" s="10"/>
      <c r="GM59" s="11"/>
      <c r="GO59" s="9"/>
      <c r="GP59" s="10"/>
      <c r="GQ59" s="11"/>
      <c r="GS59" s="9"/>
      <c r="GT59" s="10"/>
      <c r="GU59" s="11"/>
    </row>
    <row r="60" spans="1:203">
      <c r="A60" s="9"/>
      <c r="B60" s="10"/>
      <c r="C60" s="11"/>
      <c r="E60" s="9"/>
      <c r="F60" s="10"/>
      <c r="G60" s="11"/>
      <c r="I60" s="9"/>
      <c r="J60" s="10"/>
      <c r="K60" s="11"/>
      <c r="M60" s="9"/>
      <c r="N60" s="10"/>
      <c r="O60" s="11"/>
      <c r="P60" s="12"/>
      <c r="Q60" s="9"/>
      <c r="R60" s="10"/>
      <c r="S60" s="11"/>
      <c r="U60" s="9"/>
      <c r="V60" s="10"/>
      <c r="W60" s="11"/>
      <c r="Y60" s="9"/>
      <c r="Z60" s="10"/>
      <c r="AA60" s="11"/>
      <c r="AC60" s="9"/>
      <c r="AD60" s="10"/>
      <c r="AE60" s="11"/>
      <c r="AG60" s="9"/>
      <c r="AH60" s="10"/>
      <c r="AI60" s="11"/>
      <c r="AK60" s="9"/>
      <c r="AL60" s="10"/>
      <c r="AM60" s="11"/>
      <c r="AO60" s="9"/>
      <c r="AP60" s="10"/>
      <c r="AQ60" s="11"/>
      <c r="AS60" s="9"/>
      <c r="AT60" s="10"/>
      <c r="AU60" s="11"/>
      <c r="AW60" s="9"/>
      <c r="AX60" s="10"/>
      <c r="AY60" s="11"/>
      <c r="BA60" s="9"/>
      <c r="BB60" s="10"/>
      <c r="BC60" s="11"/>
      <c r="BE60" s="9"/>
      <c r="BF60" s="10"/>
      <c r="BG60" s="11"/>
      <c r="BI60" s="9"/>
      <c r="BJ60" s="10"/>
      <c r="BK60" s="11"/>
      <c r="BM60" s="9"/>
      <c r="BN60" s="10"/>
      <c r="BO60" s="11"/>
      <c r="BQ60" s="9"/>
      <c r="BR60" s="10"/>
      <c r="BS60" s="11"/>
      <c r="BU60" s="9"/>
      <c r="BV60" s="10"/>
      <c r="BW60" s="11"/>
      <c r="BY60" s="9"/>
      <c r="BZ60" s="10"/>
      <c r="CA60" s="11"/>
      <c r="CC60" s="9"/>
      <c r="CD60" s="10"/>
      <c r="CE60" s="11"/>
      <c r="CG60" s="9"/>
      <c r="CH60" s="10"/>
      <c r="CI60" s="11"/>
      <c r="CK60" s="9"/>
      <c r="CL60" s="10"/>
      <c r="CM60" s="11"/>
      <c r="CO60" s="9"/>
      <c r="CP60" s="10"/>
      <c r="CQ60" s="11"/>
      <c r="CS60" s="9"/>
      <c r="CT60" s="10"/>
      <c r="CU60" s="11"/>
      <c r="CW60" s="9"/>
      <c r="CX60" s="10"/>
      <c r="CY60" s="11"/>
      <c r="DA60" s="9"/>
      <c r="DB60" s="10"/>
      <c r="DC60" s="11"/>
      <c r="DE60" s="9"/>
      <c r="DF60" s="10"/>
      <c r="DG60" s="11"/>
      <c r="DI60" s="9"/>
      <c r="DJ60" s="10"/>
      <c r="DK60" s="11"/>
      <c r="DM60" s="9"/>
      <c r="DN60" s="10"/>
      <c r="DO60" s="11"/>
      <c r="DQ60" s="9"/>
      <c r="DR60" s="10"/>
      <c r="DS60" s="11"/>
      <c r="DU60" s="9"/>
      <c r="DV60" s="10"/>
      <c r="DW60" s="11"/>
      <c r="DY60" s="9"/>
      <c r="DZ60" s="10"/>
      <c r="EA60" s="11"/>
      <c r="EC60" s="9"/>
      <c r="ED60" s="10"/>
      <c r="EE60" s="11"/>
      <c r="EG60" s="9"/>
      <c r="EH60" s="10"/>
      <c r="EI60" s="11"/>
      <c r="EK60" s="9"/>
      <c r="EL60" s="10"/>
      <c r="EM60" s="11"/>
      <c r="EO60" s="9"/>
      <c r="EP60" s="10"/>
      <c r="EQ60" s="11"/>
      <c r="ES60" s="9"/>
      <c r="ET60" s="10"/>
      <c r="EU60" s="11"/>
      <c r="EW60" s="9"/>
      <c r="EX60" s="10"/>
      <c r="EY60" s="11"/>
      <c r="FA60" s="9"/>
      <c r="FB60" s="10"/>
      <c r="FC60" s="11"/>
      <c r="FE60" s="9"/>
      <c r="FF60" s="10"/>
      <c r="FG60" s="11"/>
      <c r="FI60" s="9"/>
      <c r="FJ60" s="10"/>
      <c r="FK60" s="11"/>
      <c r="FM60" s="9"/>
      <c r="FN60" s="10"/>
      <c r="FO60" s="11"/>
      <c r="FQ60" s="9"/>
      <c r="FR60" s="10"/>
      <c r="FS60" s="11"/>
      <c r="FU60" s="9"/>
      <c r="FV60" s="10"/>
      <c r="FW60" s="11"/>
      <c r="FY60" s="9"/>
      <c r="FZ60" s="10"/>
      <c r="GA60" s="11"/>
      <c r="GC60" s="9"/>
      <c r="GD60" s="10"/>
      <c r="GE60" s="11"/>
      <c r="GG60" s="9"/>
      <c r="GH60" s="10"/>
      <c r="GI60" s="11"/>
      <c r="GK60" s="9"/>
      <c r="GL60" s="10"/>
      <c r="GM60" s="11"/>
      <c r="GO60" s="9"/>
      <c r="GP60" s="10"/>
      <c r="GQ60" s="11"/>
      <c r="GS60" s="9"/>
      <c r="GT60" s="10"/>
      <c r="GU60" s="11"/>
    </row>
    <row r="61" spans="1:203">
      <c r="A61" s="9"/>
      <c r="B61" s="10"/>
      <c r="C61" s="11"/>
      <c r="E61" s="9"/>
      <c r="F61" s="10"/>
      <c r="G61" s="11"/>
      <c r="I61" s="9"/>
      <c r="J61" s="10"/>
      <c r="K61" s="11"/>
      <c r="M61" s="9"/>
      <c r="N61" s="10"/>
      <c r="O61" s="11"/>
      <c r="P61" s="12"/>
      <c r="Q61" s="9"/>
      <c r="R61" s="10"/>
      <c r="S61" s="11"/>
      <c r="U61" s="9"/>
      <c r="V61" s="10"/>
      <c r="W61" s="11"/>
      <c r="Y61" s="9"/>
      <c r="Z61" s="10"/>
      <c r="AA61" s="11"/>
      <c r="AC61" s="9"/>
      <c r="AD61" s="10"/>
      <c r="AE61" s="11"/>
      <c r="AG61" s="9"/>
      <c r="AH61" s="10"/>
      <c r="AI61" s="11"/>
      <c r="AK61" s="9"/>
      <c r="AL61" s="10"/>
      <c r="AM61" s="11"/>
      <c r="AO61" s="9"/>
      <c r="AP61" s="10"/>
      <c r="AQ61" s="11"/>
      <c r="AS61" s="9"/>
      <c r="AT61" s="10"/>
      <c r="AU61" s="11"/>
      <c r="AW61" s="9"/>
      <c r="AX61" s="10"/>
      <c r="AY61" s="11"/>
      <c r="BA61" s="9"/>
      <c r="BB61" s="10"/>
      <c r="BC61" s="11"/>
      <c r="BE61" s="9"/>
      <c r="BF61" s="10"/>
      <c r="BG61" s="11"/>
      <c r="BI61" s="9"/>
      <c r="BJ61" s="10"/>
      <c r="BK61" s="11"/>
      <c r="BM61" s="9"/>
      <c r="BN61" s="10"/>
      <c r="BO61" s="11"/>
      <c r="BQ61" s="9"/>
      <c r="BR61" s="10"/>
      <c r="BS61" s="11"/>
      <c r="BU61" s="9"/>
      <c r="BV61" s="10"/>
      <c r="BW61" s="11"/>
      <c r="BY61" s="9"/>
      <c r="BZ61" s="10"/>
      <c r="CA61" s="11"/>
      <c r="CC61" s="9"/>
      <c r="CD61" s="10"/>
      <c r="CE61" s="11"/>
      <c r="CG61" s="9"/>
      <c r="CH61" s="10"/>
      <c r="CI61" s="11"/>
      <c r="CK61" s="9"/>
      <c r="CL61" s="10"/>
      <c r="CM61" s="11"/>
      <c r="CO61" s="9"/>
      <c r="CP61" s="10"/>
      <c r="CQ61" s="11"/>
      <c r="CS61" s="9"/>
      <c r="CT61" s="10"/>
      <c r="CU61" s="11"/>
      <c r="CW61" s="9"/>
      <c r="CX61" s="10"/>
      <c r="CY61" s="11"/>
      <c r="DA61" s="9"/>
      <c r="DB61" s="10"/>
      <c r="DC61" s="11"/>
      <c r="DE61" s="9"/>
      <c r="DF61" s="10"/>
      <c r="DG61" s="11"/>
      <c r="DI61" s="9"/>
      <c r="DJ61" s="10"/>
      <c r="DK61" s="11"/>
      <c r="DM61" s="9"/>
      <c r="DN61" s="10"/>
      <c r="DO61" s="11"/>
      <c r="DQ61" s="9"/>
      <c r="DR61" s="10"/>
      <c r="DS61" s="11"/>
      <c r="DU61" s="9"/>
      <c r="DV61" s="10"/>
      <c r="DW61" s="11"/>
      <c r="DY61" s="9"/>
      <c r="DZ61" s="10"/>
      <c r="EA61" s="11"/>
      <c r="EC61" s="9"/>
      <c r="ED61" s="10"/>
      <c r="EE61" s="11"/>
      <c r="EG61" s="9"/>
      <c r="EH61" s="10"/>
      <c r="EI61" s="11"/>
      <c r="EK61" s="9"/>
      <c r="EL61" s="10"/>
      <c r="EM61" s="11"/>
      <c r="EO61" s="9"/>
      <c r="EP61" s="10"/>
      <c r="EQ61" s="11"/>
      <c r="ES61" s="9"/>
      <c r="ET61" s="10"/>
      <c r="EU61" s="11"/>
      <c r="EW61" s="9"/>
      <c r="EX61" s="10"/>
      <c r="EY61" s="11"/>
      <c r="FA61" s="9"/>
      <c r="FB61" s="10"/>
      <c r="FC61" s="11"/>
      <c r="FE61" s="9"/>
      <c r="FF61" s="10"/>
      <c r="FG61" s="11"/>
      <c r="FI61" s="9"/>
      <c r="FJ61" s="10"/>
      <c r="FK61" s="11"/>
      <c r="FM61" s="9"/>
      <c r="FN61" s="10"/>
      <c r="FO61" s="11"/>
      <c r="FQ61" s="9"/>
      <c r="FR61" s="10"/>
      <c r="FS61" s="11"/>
      <c r="FU61" s="9"/>
      <c r="FV61" s="10"/>
      <c r="FW61" s="11"/>
      <c r="FY61" s="9"/>
      <c r="FZ61" s="10"/>
      <c r="GA61" s="11"/>
      <c r="GC61" s="9"/>
      <c r="GD61" s="10"/>
      <c r="GE61" s="11"/>
      <c r="GG61" s="9"/>
      <c r="GH61" s="10"/>
      <c r="GI61" s="11"/>
      <c r="GK61" s="9"/>
      <c r="GL61" s="10"/>
      <c r="GM61" s="11"/>
      <c r="GO61" s="9"/>
      <c r="GP61" s="10"/>
      <c r="GQ61" s="11"/>
      <c r="GS61" s="9"/>
      <c r="GT61" s="10"/>
      <c r="GU61" s="11"/>
    </row>
    <row r="62" spans="1:203">
      <c r="A62" s="9"/>
      <c r="B62" s="10"/>
      <c r="C62" s="11"/>
      <c r="E62" s="9"/>
      <c r="F62" s="10"/>
      <c r="G62" s="11"/>
      <c r="I62" s="9"/>
      <c r="J62" s="10"/>
      <c r="K62" s="11"/>
      <c r="M62" s="9"/>
      <c r="N62" s="10"/>
      <c r="O62" s="11"/>
      <c r="P62" s="12"/>
      <c r="Q62" s="9"/>
      <c r="R62" s="10"/>
      <c r="S62" s="11"/>
      <c r="U62" s="9"/>
      <c r="V62" s="10"/>
      <c r="W62" s="11"/>
      <c r="Y62" s="9"/>
      <c r="Z62" s="10"/>
      <c r="AA62" s="11"/>
      <c r="AC62" s="9"/>
      <c r="AD62" s="10"/>
      <c r="AE62" s="11"/>
      <c r="AG62" s="9"/>
      <c r="AH62" s="10"/>
      <c r="AI62" s="11"/>
      <c r="AK62" s="9"/>
      <c r="AL62" s="10"/>
      <c r="AM62" s="11"/>
      <c r="AO62" s="9"/>
      <c r="AP62" s="10"/>
      <c r="AQ62" s="11"/>
      <c r="AS62" s="9"/>
      <c r="AT62" s="10"/>
      <c r="AU62" s="11"/>
      <c r="AW62" s="9"/>
      <c r="AX62" s="10"/>
      <c r="AY62" s="11"/>
      <c r="BA62" s="9"/>
      <c r="BB62" s="10"/>
      <c r="BC62" s="11"/>
      <c r="BE62" s="9"/>
      <c r="BF62" s="10"/>
      <c r="BG62" s="11"/>
      <c r="BI62" s="9"/>
      <c r="BJ62" s="10"/>
      <c r="BK62" s="11"/>
      <c r="BM62" s="9"/>
      <c r="BN62" s="10"/>
      <c r="BO62" s="11"/>
      <c r="BQ62" s="9"/>
      <c r="BR62" s="10"/>
      <c r="BS62" s="11"/>
      <c r="BU62" s="9"/>
      <c r="BV62" s="10"/>
      <c r="BW62" s="11"/>
      <c r="BY62" s="9"/>
      <c r="BZ62" s="10"/>
      <c r="CA62" s="11"/>
      <c r="CC62" s="9"/>
      <c r="CD62" s="10"/>
      <c r="CE62" s="11"/>
      <c r="CG62" s="9"/>
      <c r="CH62" s="10"/>
      <c r="CI62" s="11"/>
      <c r="CK62" s="9"/>
      <c r="CL62" s="10"/>
      <c r="CM62" s="11"/>
      <c r="CO62" s="9"/>
      <c r="CP62" s="10"/>
      <c r="CQ62" s="11"/>
      <c r="CS62" s="9"/>
      <c r="CT62" s="10"/>
      <c r="CU62" s="11"/>
      <c r="CW62" s="9"/>
      <c r="CX62" s="10"/>
      <c r="CY62" s="11"/>
      <c r="DA62" s="9"/>
      <c r="DB62" s="10"/>
      <c r="DC62" s="11"/>
      <c r="DE62" s="9"/>
      <c r="DF62" s="10"/>
      <c r="DG62" s="11"/>
      <c r="DI62" s="9"/>
      <c r="DJ62" s="10"/>
      <c r="DK62" s="11"/>
      <c r="DM62" s="9"/>
      <c r="DN62" s="10"/>
      <c r="DO62" s="11"/>
      <c r="DQ62" s="9"/>
      <c r="DR62" s="10"/>
      <c r="DS62" s="11"/>
      <c r="DU62" s="9"/>
      <c r="DV62" s="10"/>
      <c r="DW62" s="11"/>
      <c r="DY62" s="9"/>
      <c r="DZ62" s="10"/>
      <c r="EA62" s="11"/>
      <c r="EC62" s="9"/>
      <c r="ED62" s="10"/>
      <c r="EE62" s="11"/>
      <c r="EG62" s="9"/>
      <c r="EH62" s="10"/>
      <c r="EI62" s="11"/>
      <c r="EK62" s="9"/>
      <c r="EL62" s="10"/>
      <c r="EM62" s="11"/>
      <c r="EO62" s="9"/>
      <c r="EP62" s="10"/>
      <c r="EQ62" s="11"/>
      <c r="ES62" s="9"/>
      <c r="ET62" s="10"/>
      <c r="EU62" s="11"/>
      <c r="EW62" s="9"/>
      <c r="EX62" s="10"/>
      <c r="EY62" s="11"/>
      <c r="FA62" s="9"/>
      <c r="FB62" s="10"/>
      <c r="FC62" s="11"/>
      <c r="FE62" s="9"/>
      <c r="FF62" s="10"/>
      <c r="FG62" s="11"/>
      <c r="FI62" s="9"/>
      <c r="FJ62" s="10"/>
      <c r="FK62" s="11"/>
      <c r="FM62" s="9"/>
      <c r="FN62" s="10"/>
      <c r="FO62" s="11"/>
      <c r="FQ62" s="9"/>
      <c r="FR62" s="10"/>
      <c r="FS62" s="11"/>
      <c r="FU62" s="9"/>
      <c r="FV62" s="10"/>
      <c r="FW62" s="11"/>
      <c r="FY62" s="9"/>
      <c r="FZ62" s="10"/>
      <c r="GA62" s="11"/>
      <c r="GC62" s="9"/>
      <c r="GD62" s="10"/>
      <c r="GE62" s="11"/>
      <c r="GG62" s="9"/>
      <c r="GH62" s="10"/>
      <c r="GI62" s="11"/>
      <c r="GK62" s="9"/>
      <c r="GL62" s="10"/>
      <c r="GM62" s="11"/>
      <c r="GO62" s="9"/>
      <c r="GP62" s="10"/>
      <c r="GQ62" s="11"/>
      <c r="GS62" s="9"/>
      <c r="GT62" s="10"/>
      <c r="GU62" s="11"/>
    </row>
    <row r="63" spans="1:203">
      <c r="A63" s="9"/>
      <c r="B63" s="10"/>
      <c r="C63" s="11"/>
      <c r="E63" s="9"/>
      <c r="F63" s="10"/>
      <c r="G63" s="11"/>
      <c r="I63" s="9"/>
      <c r="J63" s="10"/>
      <c r="K63" s="11"/>
      <c r="M63" s="9"/>
      <c r="N63" s="10"/>
      <c r="O63" s="11"/>
      <c r="P63" s="12"/>
      <c r="Q63" s="9"/>
      <c r="R63" s="10"/>
      <c r="S63" s="11"/>
      <c r="U63" s="9"/>
      <c r="V63" s="10"/>
      <c r="W63" s="11"/>
      <c r="Y63" s="9"/>
      <c r="Z63" s="10"/>
      <c r="AA63" s="11"/>
      <c r="AC63" s="9"/>
      <c r="AD63" s="10"/>
      <c r="AE63" s="11"/>
      <c r="AG63" s="9"/>
      <c r="AH63" s="10"/>
      <c r="AI63" s="11"/>
      <c r="AK63" s="9"/>
      <c r="AL63" s="10"/>
      <c r="AM63" s="11"/>
      <c r="AO63" s="9"/>
      <c r="AP63" s="10"/>
      <c r="AQ63" s="11"/>
      <c r="AS63" s="9"/>
      <c r="AT63" s="10"/>
      <c r="AU63" s="11"/>
      <c r="AW63" s="9"/>
      <c r="AX63" s="10"/>
      <c r="AY63" s="11"/>
      <c r="BA63" s="9"/>
      <c r="BB63" s="10"/>
      <c r="BC63" s="11"/>
      <c r="BE63" s="9"/>
      <c r="BF63" s="10"/>
      <c r="BG63" s="11"/>
      <c r="BI63" s="9"/>
      <c r="BJ63" s="10"/>
      <c r="BK63" s="11"/>
      <c r="BM63" s="9"/>
      <c r="BN63" s="10"/>
      <c r="BO63" s="11"/>
      <c r="BQ63" s="9"/>
      <c r="BR63" s="10"/>
      <c r="BS63" s="11"/>
      <c r="BU63" s="9"/>
      <c r="BV63" s="10"/>
      <c r="BW63" s="11"/>
      <c r="BY63" s="9"/>
      <c r="BZ63" s="10"/>
      <c r="CA63" s="11"/>
      <c r="CC63" s="9"/>
      <c r="CD63" s="10"/>
      <c r="CE63" s="11"/>
      <c r="CG63" s="9"/>
      <c r="CH63" s="10"/>
      <c r="CI63" s="11"/>
      <c r="CK63" s="9"/>
      <c r="CL63" s="10"/>
      <c r="CM63" s="11"/>
      <c r="CO63" s="9"/>
      <c r="CP63" s="10"/>
      <c r="CQ63" s="11"/>
      <c r="CS63" s="9"/>
      <c r="CT63" s="10"/>
      <c r="CU63" s="11"/>
      <c r="CW63" s="9"/>
      <c r="CX63" s="10"/>
      <c r="CY63" s="11"/>
      <c r="DA63" s="9"/>
      <c r="DB63" s="10"/>
      <c r="DC63" s="11"/>
      <c r="DE63" s="9"/>
      <c r="DF63" s="10"/>
      <c r="DG63" s="11"/>
      <c r="DI63" s="9"/>
      <c r="DJ63" s="10"/>
      <c r="DK63" s="11"/>
      <c r="DM63" s="9"/>
      <c r="DN63" s="10"/>
      <c r="DO63" s="11"/>
      <c r="DQ63" s="9"/>
      <c r="DR63" s="10"/>
      <c r="DS63" s="11"/>
      <c r="DU63" s="9"/>
      <c r="DV63" s="10"/>
      <c r="DW63" s="11"/>
      <c r="DY63" s="9"/>
      <c r="DZ63" s="10"/>
      <c r="EA63" s="11"/>
      <c r="EC63" s="9"/>
      <c r="ED63" s="10"/>
      <c r="EE63" s="11"/>
      <c r="EG63" s="9"/>
      <c r="EH63" s="10"/>
      <c r="EI63" s="11"/>
      <c r="EK63" s="9"/>
      <c r="EL63" s="10"/>
      <c r="EM63" s="11"/>
      <c r="EO63" s="9"/>
      <c r="EP63" s="10"/>
      <c r="EQ63" s="11"/>
      <c r="ES63" s="9"/>
      <c r="ET63" s="10"/>
      <c r="EU63" s="11"/>
      <c r="EW63" s="9"/>
      <c r="EX63" s="10"/>
      <c r="EY63" s="11"/>
      <c r="FA63" s="9"/>
      <c r="FB63" s="10"/>
      <c r="FC63" s="11"/>
      <c r="FE63" s="9"/>
      <c r="FF63" s="10"/>
      <c r="FG63" s="11"/>
      <c r="FI63" s="9"/>
      <c r="FJ63" s="10"/>
      <c r="FK63" s="11"/>
      <c r="FM63" s="9"/>
      <c r="FN63" s="10"/>
      <c r="FO63" s="11"/>
      <c r="FQ63" s="9"/>
      <c r="FR63" s="10"/>
      <c r="FS63" s="11"/>
      <c r="FU63" s="9"/>
      <c r="FV63" s="10"/>
      <c r="FW63" s="11"/>
      <c r="FY63" s="9"/>
      <c r="FZ63" s="10"/>
      <c r="GA63" s="11"/>
      <c r="GC63" s="9"/>
      <c r="GD63" s="10"/>
      <c r="GE63" s="11"/>
      <c r="GG63" s="9"/>
      <c r="GH63" s="10"/>
      <c r="GI63" s="11"/>
      <c r="GK63" s="9"/>
      <c r="GL63" s="10"/>
      <c r="GM63" s="11"/>
      <c r="GO63" s="9"/>
      <c r="GP63" s="10"/>
      <c r="GQ63" s="11"/>
      <c r="GS63" s="9"/>
      <c r="GT63" s="10"/>
      <c r="GU63" s="11"/>
    </row>
    <row r="64" spans="1:203">
      <c r="A64" s="9"/>
      <c r="B64" s="10"/>
      <c r="C64" s="11"/>
      <c r="E64" s="9"/>
      <c r="F64" s="10"/>
      <c r="G64" s="11"/>
      <c r="I64" s="9"/>
      <c r="J64" s="10"/>
      <c r="K64" s="11"/>
      <c r="M64" s="9"/>
      <c r="N64" s="10"/>
      <c r="O64" s="11"/>
      <c r="P64" s="12"/>
      <c r="Q64" s="9"/>
      <c r="R64" s="10"/>
      <c r="S64" s="11"/>
      <c r="U64" s="9"/>
      <c r="V64" s="10"/>
      <c r="W64" s="11"/>
      <c r="Y64" s="9"/>
      <c r="Z64" s="10"/>
      <c r="AA64" s="11"/>
      <c r="AC64" s="9"/>
      <c r="AD64" s="10"/>
      <c r="AE64" s="11"/>
      <c r="AG64" s="9"/>
      <c r="AH64" s="10"/>
      <c r="AI64" s="11"/>
      <c r="AK64" s="9"/>
      <c r="AL64" s="10"/>
      <c r="AM64" s="11"/>
      <c r="AO64" s="9"/>
      <c r="AP64" s="10"/>
      <c r="AQ64" s="11"/>
      <c r="AS64" s="9"/>
      <c r="AT64" s="10"/>
      <c r="AU64" s="11"/>
      <c r="AW64" s="9"/>
      <c r="AX64" s="10"/>
      <c r="AY64" s="11"/>
      <c r="BA64" s="9"/>
      <c r="BB64" s="10"/>
      <c r="BC64" s="11"/>
      <c r="BE64" s="9"/>
      <c r="BF64" s="10"/>
      <c r="BG64" s="11"/>
      <c r="BI64" s="9"/>
      <c r="BJ64" s="10"/>
      <c r="BK64" s="11"/>
      <c r="BM64" s="9"/>
      <c r="BN64" s="10"/>
      <c r="BO64" s="11"/>
      <c r="BQ64" s="9"/>
      <c r="BR64" s="10"/>
      <c r="BS64" s="11"/>
      <c r="BU64" s="9"/>
      <c r="BV64" s="10"/>
      <c r="BW64" s="11"/>
      <c r="BY64" s="9"/>
      <c r="BZ64" s="10"/>
      <c r="CA64" s="11"/>
      <c r="CC64" s="9"/>
      <c r="CD64" s="10"/>
      <c r="CE64" s="11"/>
      <c r="CG64" s="9"/>
      <c r="CH64" s="10"/>
      <c r="CI64" s="11"/>
      <c r="CK64" s="9"/>
      <c r="CL64" s="10"/>
      <c r="CM64" s="11"/>
      <c r="CO64" s="9"/>
      <c r="CP64" s="10"/>
      <c r="CQ64" s="11"/>
      <c r="CS64" s="9"/>
      <c r="CT64" s="10"/>
      <c r="CU64" s="11"/>
      <c r="CW64" s="9"/>
      <c r="CX64" s="10"/>
      <c r="CY64" s="11"/>
      <c r="DA64" s="9"/>
      <c r="DB64" s="10"/>
      <c r="DC64" s="11"/>
      <c r="DE64" s="9"/>
      <c r="DF64" s="10"/>
      <c r="DG64" s="11"/>
      <c r="DI64" s="9"/>
      <c r="DJ64" s="10"/>
      <c r="DK64" s="11"/>
      <c r="DM64" s="9"/>
      <c r="DN64" s="10"/>
      <c r="DO64" s="11"/>
      <c r="DQ64" s="9"/>
      <c r="DR64" s="10"/>
      <c r="DS64" s="11"/>
      <c r="DU64" s="9"/>
      <c r="DV64" s="10"/>
      <c r="DW64" s="11"/>
      <c r="DY64" s="9"/>
      <c r="DZ64" s="10"/>
      <c r="EA64" s="11"/>
      <c r="EC64" s="9"/>
      <c r="ED64" s="10"/>
      <c r="EE64" s="11"/>
      <c r="EG64" s="9"/>
      <c r="EH64" s="10"/>
      <c r="EI64" s="11"/>
      <c r="EK64" s="9"/>
      <c r="EL64" s="10"/>
      <c r="EM64" s="11"/>
      <c r="EO64" s="9"/>
      <c r="EP64" s="10"/>
      <c r="EQ64" s="11"/>
      <c r="ES64" s="9"/>
      <c r="ET64" s="10"/>
      <c r="EU64" s="11"/>
      <c r="EW64" s="9"/>
      <c r="EX64" s="10"/>
      <c r="EY64" s="11"/>
      <c r="FA64" s="9"/>
      <c r="FB64" s="10"/>
      <c r="FC64" s="11"/>
      <c r="FE64" s="9"/>
      <c r="FF64" s="10"/>
      <c r="FG64" s="11"/>
      <c r="FI64" s="9"/>
      <c r="FJ64" s="10"/>
      <c r="FK64" s="11"/>
      <c r="FM64" s="9"/>
      <c r="FN64" s="10"/>
      <c r="FO64" s="11"/>
      <c r="FQ64" s="9"/>
      <c r="FR64" s="10"/>
      <c r="FS64" s="11"/>
      <c r="FU64" s="9"/>
      <c r="FV64" s="10"/>
      <c r="FW64" s="11"/>
      <c r="FY64" s="9"/>
      <c r="FZ64" s="10"/>
      <c r="GA64" s="11"/>
      <c r="GC64" s="9"/>
      <c r="GD64" s="10"/>
      <c r="GE64" s="11"/>
      <c r="GG64" s="9"/>
      <c r="GH64" s="10"/>
      <c r="GI64" s="11"/>
      <c r="GK64" s="9"/>
      <c r="GL64" s="10"/>
      <c r="GM64" s="11"/>
      <c r="GO64" s="9"/>
      <c r="GP64" s="10"/>
      <c r="GQ64" s="11"/>
      <c r="GS64" s="9"/>
      <c r="GT64" s="10"/>
      <c r="GU64" s="11"/>
    </row>
    <row r="65" spans="1:211">
      <c r="A65" s="9"/>
      <c r="B65" s="10"/>
      <c r="C65" s="11"/>
      <c r="E65" s="9"/>
      <c r="F65" s="10"/>
      <c r="G65" s="11"/>
      <c r="I65" s="9"/>
      <c r="J65" s="10"/>
      <c r="K65" s="11"/>
      <c r="M65" s="9"/>
      <c r="N65" s="10"/>
      <c r="O65" s="11"/>
      <c r="P65" s="12"/>
      <c r="Q65" s="9"/>
      <c r="R65" s="10"/>
      <c r="S65" s="11"/>
      <c r="U65" s="9"/>
      <c r="V65" s="10"/>
      <c r="W65" s="11"/>
      <c r="Y65" s="9"/>
      <c r="Z65" s="10"/>
      <c r="AA65" s="11"/>
      <c r="AC65" s="9"/>
      <c r="AD65" s="10"/>
      <c r="AE65" s="11"/>
      <c r="AG65" s="9"/>
      <c r="AH65" s="10"/>
      <c r="AI65" s="11"/>
      <c r="AK65" s="9"/>
      <c r="AL65" s="10"/>
      <c r="AM65" s="11"/>
      <c r="AO65" s="9"/>
      <c r="AP65" s="10"/>
      <c r="AQ65" s="11"/>
      <c r="AS65" s="9"/>
      <c r="AT65" s="10"/>
      <c r="AU65" s="11"/>
      <c r="AW65" s="9"/>
      <c r="AX65" s="10"/>
      <c r="AY65" s="11"/>
      <c r="BA65" s="9"/>
      <c r="BB65" s="10"/>
      <c r="BC65" s="11"/>
      <c r="BE65" s="9"/>
      <c r="BF65" s="10"/>
      <c r="BG65" s="11"/>
      <c r="BI65" s="9"/>
      <c r="BJ65" s="10"/>
      <c r="BK65" s="11"/>
      <c r="BM65" s="9"/>
      <c r="BN65" s="10"/>
      <c r="BO65" s="11"/>
      <c r="BQ65" s="9"/>
      <c r="BR65" s="10"/>
      <c r="BS65" s="11"/>
      <c r="BU65" s="9"/>
      <c r="BV65" s="10"/>
      <c r="BW65" s="11"/>
      <c r="BY65" s="9"/>
      <c r="BZ65" s="10"/>
      <c r="CA65" s="11"/>
      <c r="CC65" s="9"/>
      <c r="CD65" s="10"/>
      <c r="CE65" s="11"/>
      <c r="CG65" s="9"/>
      <c r="CH65" s="10"/>
      <c r="CI65" s="11"/>
      <c r="CK65" s="9"/>
      <c r="CL65" s="10"/>
      <c r="CM65" s="11"/>
      <c r="CO65" s="9"/>
      <c r="CP65" s="10"/>
      <c r="CQ65" s="11"/>
      <c r="CS65" s="9"/>
      <c r="CT65" s="10"/>
      <c r="CU65" s="11"/>
      <c r="CW65" s="9"/>
      <c r="CX65" s="10"/>
      <c r="CY65" s="11"/>
      <c r="DA65" s="9"/>
      <c r="DB65" s="10"/>
      <c r="DC65" s="11"/>
      <c r="DE65" s="9"/>
      <c r="DF65" s="10"/>
      <c r="DG65" s="11"/>
      <c r="DI65" s="9"/>
      <c r="DJ65" s="10"/>
      <c r="DK65" s="11"/>
      <c r="DM65" s="9"/>
      <c r="DN65" s="10"/>
      <c r="DO65" s="11"/>
      <c r="DQ65" s="9"/>
      <c r="DR65" s="10"/>
      <c r="DS65" s="11"/>
      <c r="DU65" s="9"/>
      <c r="DV65" s="10"/>
      <c r="DW65" s="11"/>
      <c r="DY65" s="9"/>
      <c r="DZ65" s="10"/>
      <c r="EA65" s="11"/>
      <c r="EC65" s="9"/>
      <c r="ED65" s="10"/>
      <c r="EE65" s="11"/>
      <c r="EG65" s="9"/>
      <c r="EH65" s="10"/>
      <c r="EI65" s="11"/>
      <c r="EK65" s="9"/>
      <c r="EL65" s="10"/>
      <c r="EM65" s="11"/>
      <c r="EO65" s="9"/>
      <c r="EP65" s="10"/>
      <c r="EQ65" s="11"/>
      <c r="ES65" s="9"/>
      <c r="ET65" s="10"/>
      <c r="EU65" s="11"/>
      <c r="EW65" s="9"/>
      <c r="EX65" s="10"/>
      <c r="EY65" s="11"/>
      <c r="FA65" s="9"/>
      <c r="FB65" s="10"/>
      <c r="FC65" s="11"/>
      <c r="FE65" s="9"/>
      <c r="FF65" s="10"/>
      <c r="FG65" s="11"/>
      <c r="FI65" s="9"/>
      <c r="FJ65" s="10"/>
      <c r="FK65" s="11"/>
      <c r="FM65" s="9"/>
      <c r="FN65" s="10"/>
      <c r="FO65" s="11"/>
      <c r="FQ65" s="9"/>
      <c r="FR65" s="10"/>
      <c r="FS65" s="11"/>
      <c r="FU65" s="9"/>
      <c r="FV65" s="10"/>
      <c r="FW65" s="11"/>
      <c r="FY65" s="9"/>
      <c r="FZ65" s="10"/>
      <c r="GA65" s="11"/>
      <c r="GC65" s="9"/>
      <c r="GD65" s="10"/>
      <c r="GE65" s="11"/>
      <c r="GG65" s="9"/>
      <c r="GH65" s="10"/>
      <c r="GI65" s="11"/>
      <c r="GK65" s="9"/>
      <c r="GL65" s="10"/>
      <c r="GM65" s="11"/>
      <c r="GO65" s="9"/>
      <c r="GP65" s="10"/>
      <c r="GQ65" s="11"/>
      <c r="GS65" s="9"/>
      <c r="GT65" s="10"/>
      <c r="GU65" s="11"/>
    </row>
    <row r="66" spans="1:211">
      <c r="A66" s="9"/>
      <c r="B66" s="10"/>
      <c r="C66" s="11"/>
      <c r="F66" s="13"/>
      <c r="G66" s="14"/>
      <c r="J66" s="13"/>
      <c r="K66" s="14"/>
      <c r="N66" s="13"/>
      <c r="O66" s="14"/>
      <c r="P66" s="14"/>
      <c r="R66" s="13"/>
      <c r="S66" s="14"/>
      <c r="V66" s="13"/>
      <c r="W66" s="14"/>
      <c r="Z66" s="13"/>
      <c r="AA66" s="14"/>
      <c r="AD66" s="13"/>
      <c r="AE66" s="14"/>
      <c r="AH66" s="13"/>
      <c r="AI66" s="14"/>
      <c r="AL66" s="13"/>
      <c r="AM66" s="14"/>
      <c r="AP66" s="13"/>
      <c r="AQ66" s="14"/>
      <c r="AT66" s="13"/>
      <c r="AU66" s="14"/>
      <c r="AX66" s="13"/>
      <c r="AY66" s="14"/>
      <c r="BB66" s="13"/>
      <c r="BC66" s="14"/>
      <c r="BF66" s="13"/>
      <c r="BG66" s="14"/>
      <c r="BJ66" s="13"/>
      <c r="BK66" s="14"/>
      <c r="BN66" s="13"/>
      <c r="BO66" s="14"/>
      <c r="BR66" s="13"/>
      <c r="BS66" s="14"/>
      <c r="BV66" s="13"/>
      <c r="BW66" s="14"/>
      <c r="BZ66" s="13"/>
      <c r="CA66" s="14"/>
      <c r="CD66" s="13"/>
      <c r="CE66" s="14"/>
      <c r="CH66" s="13"/>
      <c r="CI66" s="14"/>
      <c r="CL66" s="13"/>
      <c r="CM66" s="14"/>
      <c r="CP66" s="13"/>
      <c r="CQ66" s="14"/>
      <c r="CT66" s="13"/>
      <c r="CU66" s="14"/>
      <c r="CX66" s="13"/>
      <c r="CY66" s="14"/>
      <c r="DB66" s="13"/>
      <c r="DC66" s="14"/>
      <c r="DF66" s="13"/>
      <c r="DG66" s="14"/>
      <c r="DJ66" s="13"/>
      <c r="DK66" s="14"/>
      <c r="DN66" s="13"/>
      <c r="DO66" s="14"/>
      <c r="DR66" s="13"/>
      <c r="DS66" s="14"/>
      <c r="DV66" s="13" t="str">
        <f>+IF(SUM(DV3:DV65)-SUM(DW3:DW65)&gt;0,SUM(DV3:DV65)-SUM(DW3:DW65),"0")</f>
        <v>0</v>
      </c>
      <c r="DW66" s="14" t="str">
        <f>+IF(SUM(DV3:DV65)-SUM(DW3:DW65)&lt;0,SUM(DV3:DV65)-SUM(DW3:DW65),"0")</f>
        <v>0</v>
      </c>
      <c r="DZ66" s="13" t="str">
        <f>+IF(SUM(DZ3:DZ65)-SUM(EA3:EA65)&gt;0,SUM(DZ3:DZ65)-SUM(EA3:EA65),"0")</f>
        <v>0</v>
      </c>
      <c r="EA66" s="14" t="str">
        <f>+IF(SUM(DZ3:DZ65)-SUM(EA3:EA65)&lt;0,SUM(DZ3:DZ65)-SUM(EA3:EA65),"0")</f>
        <v>0</v>
      </c>
      <c r="ED66" s="13" t="str">
        <f>+IF(SUM(ED3:ED65)-SUM(EE3:EE65)&gt;0,SUM(ED3:ED65)-SUM(EE3:EE65),"0")</f>
        <v>0</v>
      </c>
      <c r="EE66" s="14" t="str">
        <f>+IF(SUM(ED3:ED65)-SUM(EE3:EE65)&lt;0,SUM(ED3:ED65)-SUM(EE3:EE65),"0")</f>
        <v>0</v>
      </c>
      <c r="EH66" s="13" t="str">
        <f>+IF(SUM(EH3:EH65)-SUM(EI3:EI65)&gt;0,SUM(EH3:EH65)-SUM(EI3:EI65),"0")</f>
        <v>0</v>
      </c>
      <c r="EI66" s="14" t="str">
        <f>+IF(SUM(EH3:EH65)-SUM(EI3:EI65)&lt;0,SUM(EH3:EH65)-SUM(EI3:EI65),"0")</f>
        <v>0</v>
      </c>
      <c r="EL66" s="13" t="str">
        <f>+IF(SUM(EL3:EL65)-SUM(EM3:EM65)&gt;0,SUM(EL3:EL65)-SUM(EM3:EM65),"0")</f>
        <v>0</v>
      </c>
      <c r="EM66" s="14" t="str">
        <f>+IF(SUM(EL3:EL65)-SUM(EM3:EM65)&lt;0,SUM(EL3:EL65)-SUM(EM3:EM65),"0")</f>
        <v>0</v>
      </c>
      <c r="EP66" s="13" t="str">
        <f>+IF(SUM(EP3:EP65)-SUM(EQ3:EQ65)&gt;0,SUM(EP3:EP65)-SUM(EQ3:EQ65),"0")</f>
        <v>0</v>
      </c>
      <c r="EQ66" s="14" t="str">
        <f>+IF(SUM(EP3:EP65)-SUM(EQ3:EQ65)&lt;0,SUM(EP3:EP65)-SUM(EQ3:EQ65),"0")</f>
        <v>0</v>
      </c>
      <c r="ET66" s="13" t="str">
        <f>+IF(SUM(ET3:ET65)-SUM(EU3:EU65)&gt;0,SUM(ET3:ET65)-SUM(EU3:EU65),"0")</f>
        <v>0</v>
      </c>
      <c r="EU66" s="14" t="str">
        <f>+IF(SUM(ET3:ET65)-SUM(EU3:EU65)&lt;0,SUM(ET3:ET65)-SUM(EU3:EU65),"0")</f>
        <v>0</v>
      </c>
      <c r="EX66" s="13" t="str">
        <f>+IF(SUM(EX3:EX65)-SUM(EY3:EY65)&gt;0,SUM(EX3:EX65)-SUM(EY3:EY65),"0")</f>
        <v>0</v>
      </c>
      <c r="EY66" s="14" t="str">
        <f>+IF(SUM(EX3:EX65)-SUM(EY3:EY65)&lt;0,SUM(EX3:EX65)-SUM(EY3:EY65),"0")</f>
        <v>0</v>
      </c>
      <c r="FB66" s="13" t="str">
        <f>+IF(SUM(FB3:FB65)-SUM(FC3:FC65)&gt;0,SUM(FB3:FB65)-SUM(FC3:FC65),"0")</f>
        <v>0</v>
      </c>
      <c r="FC66" s="14" t="str">
        <f>+IF(SUM(FB3:FB65)-SUM(FC3:FC65)&lt;0,SUM(FB3:FB65)-SUM(FC3:FC65),"0")</f>
        <v>0</v>
      </c>
      <c r="FF66" s="13" t="str">
        <f>+IF(SUM(FF3:FF65)-SUM(FG3:FG65)&gt;0,SUM(FF3:FF65)-SUM(FG3:FG65),"0")</f>
        <v>0</v>
      </c>
      <c r="FG66" s="14" t="str">
        <f>+IF(SUM(FF3:FF65)-SUM(FG3:FG65)&lt;0,SUM(FF3:FF65)-SUM(FG3:FG65),"0")</f>
        <v>0</v>
      </c>
      <c r="FJ66" s="13" t="str">
        <f>+IF(SUM(FJ3:FJ65)-SUM(FK3:FK65)&gt;0,SUM(FJ3:FJ65)-SUM(FK3:FK65),"0")</f>
        <v>0</v>
      </c>
      <c r="FK66" s="14" t="str">
        <f>+IF(SUM(FJ3:FJ65)-SUM(FK3:FK65)&lt;0,SUM(FJ3:FJ65)-SUM(FK3:FK65),"0")</f>
        <v>0</v>
      </c>
      <c r="FN66" s="13" t="str">
        <f>+IF(SUM(FN3:FN65)-SUM(FO3:FO65)&gt;0,SUM(FN3:FN65)-SUM(FO3:FO65),"0")</f>
        <v>0</v>
      </c>
      <c r="FO66" s="14" t="str">
        <f>+IF(SUM(FN3:FN65)-SUM(FO3:FO65)&lt;0,SUM(FN3:FN65)-SUM(FO3:FO65),"0")</f>
        <v>0</v>
      </c>
      <c r="FR66" s="13" t="str">
        <f>+IF(SUM(FR3:FR65)-SUM(FS3:FS65)&gt;0,SUM(FR3:FR65)-SUM(FS3:FS65),"0")</f>
        <v>0</v>
      </c>
      <c r="FS66" s="14" t="str">
        <f>+IF(SUM(FR3:FR65)-SUM(FS3:FS65)&lt;0,SUM(FR3:FR65)-SUM(FS3:FS65),"0")</f>
        <v>0</v>
      </c>
      <c r="FV66" s="13" t="str">
        <f>+IF(SUM(FV3:FV65)-SUM(FW3:FW65)&gt;0,SUM(FV3:FV65)-SUM(FW3:FW65),"0")</f>
        <v>0</v>
      </c>
      <c r="FW66" s="14" t="str">
        <f>+IF(SUM(FV3:FV65)-SUM(FW3:FW65)&lt;0,SUM(FV3:FV65)-SUM(FW3:FW65),"0")</f>
        <v>0</v>
      </c>
      <c r="FZ66" s="13" t="str">
        <f>+IF(SUM(FZ3:FZ65)-SUM(GA3:GA65)&gt;0,SUM(FZ3:FZ65)-SUM(GA3:GA65),"0")</f>
        <v>0</v>
      </c>
      <c r="GA66" s="14" t="str">
        <f>+IF(SUM(FZ3:FZ65)-SUM(GA3:GA65)&lt;0,SUM(FZ3:FZ65)-SUM(GA3:GA65),"0")</f>
        <v>0</v>
      </c>
      <c r="GD66" s="13" t="str">
        <f>+IF(SUM(GD3:GD65)-SUM(GE3:GE65)&gt;0,SUM(GD3:GD65)-SUM(GE3:GE65),"0")</f>
        <v>0</v>
      </c>
      <c r="GE66" s="14" t="str">
        <f>+IF(SUM(GD3:GD65)-SUM(GE3:GE65)&lt;0,SUM(GD3:GD65)-SUM(GE3:GE65),"0")</f>
        <v>0</v>
      </c>
      <c r="GH66" s="13" t="str">
        <f>+IF(SUM(GH3:GH65)-SUM(GI3:GI65)&gt;0,SUM(GH3:GH65)-SUM(GI3:GI65),"0")</f>
        <v>0</v>
      </c>
      <c r="GI66" s="14" t="str">
        <f>+IF(SUM(GH3:GH65)-SUM(GI3:GI65)&lt;0,SUM(GH3:GH65)-SUM(GI3:GI65),"0")</f>
        <v>0</v>
      </c>
      <c r="GL66" s="13" t="str">
        <f>+IF(SUM(GL3:GL65)-SUM(GM3:GM65)&gt;0,SUM(GL3:GL65)-SUM(GM3:GM65),"0")</f>
        <v>0</v>
      </c>
      <c r="GM66" s="14" t="str">
        <f>+IF(SUM(GL3:GL65)-SUM(GM3:GM65)&lt;0,SUM(GL3:GL65)-SUM(GM3:GM65),"0")</f>
        <v>0</v>
      </c>
      <c r="GP66" s="13" t="str">
        <f>+IF(SUM(GP3:GP65)-SUM(GQ3:GQ65)&gt;0,SUM(GP3:GP65)-SUM(GQ3:GQ65),"0")</f>
        <v>0</v>
      </c>
      <c r="GQ66" s="14" t="str">
        <f>+IF(SUM(GP3:GP65)-SUM(GQ3:GQ65)&lt;0,SUM(GP3:GP65)-SUM(GQ3:GQ65),"0")</f>
        <v>0</v>
      </c>
      <c r="GT66" s="13" t="str">
        <f>+IF(SUM(GT3:GT65)-SUM(GU3:GU65)&gt;0,SUM(GT3:GT65)-SUM(GU3:GU65),"0")</f>
        <v>0</v>
      </c>
      <c r="GU66" s="14" t="str">
        <f>+IF(SUM(GT3:GT65)-SUM(GU3:GU65)&lt;0,SUM(GT3:GT65)-SUM(GU3:GU65),"0")</f>
        <v>0</v>
      </c>
    </row>
    <row r="67" spans="1:211">
      <c r="B67" s="13"/>
      <c r="C67" s="14"/>
      <c r="F67" s="170"/>
      <c r="G67" s="170"/>
      <c r="J67" s="170"/>
      <c r="K67" s="170"/>
      <c r="N67" s="170"/>
      <c r="O67" s="147"/>
      <c r="P67" s="1"/>
      <c r="R67" s="170"/>
      <c r="S67" s="147"/>
      <c r="V67" s="170"/>
      <c r="W67" s="147"/>
      <c r="Z67" s="170"/>
      <c r="AA67" s="147"/>
      <c r="AD67" s="170"/>
      <c r="AE67" s="147"/>
      <c r="AH67" s="170"/>
      <c r="AI67" s="147"/>
      <c r="AL67" s="170"/>
      <c r="AM67" s="147"/>
      <c r="AP67" s="170"/>
      <c r="AQ67" s="147"/>
      <c r="AT67" s="170"/>
      <c r="AU67" s="147"/>
      <c r="AX67" s="170"/>
      <c r="AY67" s="147"/>
      <c r="BB67" s="170"/>
      <c r="BC67" s="147"/>
      <c r="BF67" s="170"/>
      <c r="BG67" s="147"/>
      <c r="BJ67" s="170"/>
      <c r="BK67" s="147"/>
      <c r="BN67" s="170"/>
      <c r="BO67" s="147"/>
      <c r="BR67" s="170"/>
      <c r="BS67" s="147"/>
      <c r="BV67" s="170"/>
      <c r="BW67" s="147"/>
      <c r="BZ67" s="170"/>
      <c r="CA67" s="147"/>
      <c r="CD67" s="170"/>
      <c r="CE67" s="147"/>
      <c r="CH67" s="170"/>
      <c r="CI67" s="147"/>
      <c r="CL67" s="170"/>
      <c r="CM67" s="147"/>
      <c r="CP67" s="170"/>
      <c r="CQ67" s="147"/>
      <c r="CT67" s="170"/>
      <c r="CU67" s="147"/>
      <c r="CX67" s="170"/>
      <c r="CY67" s="147"/>
      <c r="DB67" s="170"/>
      <c r="DC67" s="147"/>
      <c r="DF67" s="170"/>
      <c r="DG67" s="147"/>
      <c r="DJ67" s="170"/>
      <c r="DK67" s="147"/>
      <c r="DN67" s="170"/>
      <c r="DO67" s="147"/>
      <c r="DR67" s="170"/>
      <c r="DS67" s="147"/>
      <c r="DU67">
        <f>+DV2</f>
        <v>0</v>
      </c>
      <c r="DV67" s="170">
        <f>+DV66+DW66</f>
        <v>0</v>
      </c>
      <c r="DW67" s="147"/>
      <c r="DY67">
        <f>+DZ2</f>
        <v>0</v>
      </c>
      <c r="DZ67" s="170">
        <f>+DZ66+EA66</f>
        <v>0</v>
      </c>
      <c r="EA67" s="147"/>
      <c r="EC67">
        <f>+ED2</f>
        <v>0</v>
      </c>
      <c r="ED67" s="170">
        <f>+ED66+EE66</f>
        <v>0</v>
      </c>
      <c r="EE67" s="147"/>
      <c r="EG67">
        <f>+EH2</f>
        <v>0</v>
      </c>
      <c r="EH67" s="170">
        <f>+EH66+EI66</f>
        <v>0</v>
      </c>
      <c r="EI67" s="147"/>
      <c r="EK67">
        <f>+EL2</f>
        <v>0</v>
      </c>
      <c r="EL67" s="170">
        <f>+EL66+EM66</f>
        <v>0</v>
      </c>
      <c r="EM67" s="147"/>
      <c r="EO67">
        <f>+EP2</f>
        <v>0</v>
      </c>
      <c r="EP67" s="170">
        <f>+EP66+EQ66</f>
        <v>0</v>
      </c>
      <c r="EQ67" s="147"/>
      <c r="ES67">
        <f>+ET2</f>
        <v>0</v>
      </c>
      <c r="ET67" s="170">
        <f>+ET66+EU66</f>
        <v>0</v>
      </c>
      <c r="EU67" s="147"/>
      <c r="EW67">
        <f>+EX2</f>
        <v>0</v>
      </c>
      <c r="EX67" s="170">
        <f>+EX66+EY66</f>
        <v>0</v>
      </c>
      <c r="EY67" s="147"/>
      <c r="FA67">
        <f>+FB2</f>
        <v>0</v>
      </c>
      <c r="FB67" s="170">
        <f>+FB66+FC66</f>
        <v>0</v>
      </c>
      <c r="FC67" s="147"/>
      <c r="FE67">
        <f>+FF2</f>
        <v>0</v>
      </c>
      <c r="FF67" s="170">
        <f>+FF66+FG66</f>
        <v>0</v>
      </c>
      <c r="FG67" s="147"/>
      <c r="FI67">
        <f>+FJ2</f>
        <v>0</v>
      </c>
      <c r="FJ67" s="170">
        <f>+FJ66+FK66</f>
        <v>0</v>
      </c>
      <c r="FK67" s="147"/>
      <c r="FM67">
        <f>+FN2</f>
        <v>0</v>
      </c>
      <c r="FN67" s="170">
        <f>+FN66+FO66</f>
        <v>0</v>
      </c>
      <c r="FO67" s="147"/>
      <c r="FQ67">
        <f>+FR2</f>
        <v>0</v>
      </c>
      <c r="FR67" s="170">
        <f>+FR66+FS66</f>
        <v>0</v>
      </c>
      <c r="FS67" s="147"/>
      <c r="FU67">
        <f>+FV2</f>
        <v>0</v>
      </c>
      <c r="FV67" s="170">
        <f>+FV66+FW66</f>
        <v>0</v>
      </c>
      <c r="FW67" s="147"/>
      <c r="FY67">
        <f>+FZ2</f>
        <v>0</v>
      </c>
      <c r="FZ67" s="170">
        <f>+FZ66+GA66</f>
        <v>0</v>
      </c>
      <c r="GA67" s="147"/>
      <c r="GC67">
        <f>+GD2</f>
        <v>0</v>
      </c>
      <c r="GD67" s="170">
        <f>+GD66+GE66</f>
        <v>0</v>
      </c>
      <c r="GE67" s="147"/>
      <c r="GG67">
        <f>+GH2</f>
        <v>0</v>
      </c>
      <c r="GH67" s="170">
        <f>+GH66+GI66</f>
        <v>0</v>
      </c>
      <c r="GI67" s="147"/>
      <c r="GK67">
        <f>+GL2</f>
        <v>0</v>
      </c>
      <c r="GL67" s="170">
        <f>+GL66+GM66</f>
        <v>0</v>
      </c>
      <c r="GM67" s="147"/>
      <c r="GO67">
        <f>+GP2</f>
        <v>0</v>
      </c>
      <c r="GP67" s="170">
        <f>+GP66+GQ66</f>
        <v>0</v>
      </c>
      <c r="GQ67" s="147"/>
      <c r="GS67">
        <f>+GT2</f>
        <v>0</v>
      </c>
      <c r="GT67" s="170">
        <f>+GT66+GU66</f>
        <v>0</v>
      </c>
      <c r="GU67" s="147"/>
      <c r="GX67" s="170"/>
      <c r="GY67" s="147"/>
      <c r="HB67" s="170"/>
      <c r="HC67" s="147"/>
    </row>
    <row r="68" spans="1:211">
      <c r="B68" s="170"/>
      <c r="C68" s="170"/>
      <c r="BQ68" t="s">
        <v>52</v>
      </c>
      <c r="BR68" t="s">
        <v>52</v>
      </c>
    </row>
  </sheetData>
  <mergeCells count="104">
    <mergeCell ref="GX67:GY67"/>
    <mergeCell ref="HB67:HC67"/>
    <mergeCell ref="FZ67:GA67"/>
    <mergeCell ref="GD67:GE67"/>
    <mergeCell ref="GH67:GI67"/>
    <mergeCell ref="GL67:GM67"/>
    <mergeCell ref="GP67:GQ67"/>
    <mergeCell ref="GT67:GU67"/>
    <mergeCell ref="FB67:FC67"/>
    <mergeCell ref="FF67:FG67"/>
    <mergeCell ref="FJ67:FK67"/>
    <mergeCell ref="FN67:FO67"/>
    <mergeCell ref="FR67:FS67"/>
    <mergeCell ref="FV67:FW67"/>
    <mergeCell ref="ED67:EE67"/>
    <mergeCell ref="EH67:EI67"/>
    <mergeCell ref="EL67:EM67"/>
    <mergeCell ref="EP67:EQ67"/>
    <mergeCell ref="ET67:EU67"/>
    <mergeCell ref="EX67:EY67"/>
    <mergeCell ref="DF67:DG67"/>
    <mergeCell ref="DJ67:DK67"/>
    <mergeCell ref="DN67:DO67"/>
    <mergeCell ref="DR67:DS67"/>
    <mergeCell ref="DV67:DW67"/>
    <mergeCell ref="DZ67:EA67"/>
    <mergeCell ref="CH67:CI67"/>
    <mergeCell ref="CL67:CM67"/>
    <mergeCell ref="CP67:CQ67"/>
    <mergeCell ref="CT67:CU67"/>
    <mergeCell ref="CX67:CY67"/>
    <mergeCell ref="DB67:DC67"/>
    <mergeCell ref="BJ67:BK67"/>
    <mergeCell ref="BN67:BO67"/>
    <mergeCell ref="BR67:BS67"/>
    <mergeCell ref="BV67:BW67"/>
    <mergeCell ref="BZ67:CA67"/>
    <mergeCell ref="CD67:CE67"/>
    <mergeCell ref="AT67:AU67"/>
    <mergeCell ref="AX67:AY67"/>
    <mergeCell ref="BB67:BC67"/>
    <mergeCell ref="BF67:BG67"/>
    <mergeCell ref="R67:S67"/>
    <mergeCell ref="V67:W67"/>
    <mergeCell ref="Z67:AA67"/>
    <mergeCell ref="AD67:AE67"/>
    <mergeCell ref="AH67:AI67"/>
    <mergeCell ref="AL67:AM67"/>
    <mergeCell ref="GD2:GE2"/>
    <mergeCell ref="GH2:GI2"/>
    <mergeCell ref="GL2:GM2"/>
    <mergeCell ref="GP2:GQ2"/>
    <mergeCell ref="GT2:GU2"/>
    <mergeCell ref="B68:C68"/>
    <mergeCell ref="F67:G67"/>
    <mergeCell ref="J67:K67"/>
    <mergeCell ref="N67:O67"/>
    <mergeCell ref="FF2:FG2"/>
    <mergeCell ref="FJ2:FK2"/>
    <mergeCell ref="FN2:FO2"/>
    <mergeCell ref="FR2:FS2"/>
    <mergeCell ref="FV2:FW2"/>
    <mergeCell ref="FZ2:GA2"/>
    <mergeCell ref="EH2:EI2"/>
    <mergeCell ref="EL2:EM2"/>
    <mergeCell ref="EP2:EQ2"/>
    <mergeCell ref="ET2:EU2"/>
    <mergeCell ref="EX2:EY2"/>
    <mergeCell ref="FB2:FC2"/>
    <mergeCell ref="DJ2:DK2"/>
    <mergeCell ref="DN2:DO2"/>
    <mergeCell ref="AP67:AQ67"/>
    <mergeCell ref="DR2:DS2"/>
    <mergeCell ref="DV2:DW2"/>
    <mergeCell ref="DZ2:EA2"/>
    <mergeCell ref="ED2:EE2"/>
    <mergeCell ref="CL2:CM2"/>
    <mergeCell ref="CP2:CQ2"/>
    <mergeCell ref="CT2:CU2"/>
    <mergeCell ref="CX2:CY2"/>
    <mergeCell ref="DB2:DC2"/>
    <mergeCell ref="DF2:DG2"/>
    <mergeCell ref="BN2:BO2"/>
    <mergeCell ref="BR2:BS2"/>
    <mergeCell ref="BV2:BW2"/>
    <mergeCell ref="BZ2:CA2"/>
    <mergeCell ref="CD2:CE2"/>
    <mergeCell ref="CH2:CI2"/>
    <mergeCell ref="AT2:AU2"/>
    <mergeCell ref="AX2:AY2"/>
    <mergeCell ref="BB2:BC2"/>
    <mergeCell ref="BF2:BG2"/>
    <mergeCell ref="BJ2:BK2"/>
    <mergeCell ref="R2:S2"/>
    <mergeCell ref="V2:W2"/>
    <mergeCell ref="AD2:AE2"/>
    <mergeCell ref="Z2:AA2"/>
    <mergeCell ref="AL2:AM2"/>
    <mergeCell ref="AP2:AQ2"/>
    <mergeCell ref="B2:C2"/>
    <mergeCell ref="F2:G2"/>
    <mergeCell ref="J2:K2"/>
    <mergeCell ref="N2:O2"/>
    <mergeCell ref="AH2:A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5282-C851-884C-AE87-4E07E5EC1C10}">
  <dimension ref="D3:Z151"/>
  <sheetViews>
    <sheetView topLeftCell="B1" workbookViewId="0">
      <selection activeCell="L54" sqref="L54"/>
    </sheetView>
  </sheetViews>
  <sheetFormatPr baseColWidth="10" defaultColWidth="10.7109375" defaultRowHeight="17"/>
  <cols>
    <col min="3" max="3" width="7.28515625" customWidth="1"/>
    <col min="4" max="4" width="13.7109375" customWidth="1"/>
    <col min="5" max="5" width="12.5703125" customWidth="1"/>
    <col min="6" max="6" width="13.7109375" customWidth="1"/>
    <col min="7" max="7" width="11.28515625" bestFit="1" customWidth="1"/>
    <col min="10" max="10" width="11.5703125" customWidth="1"/>
    <col min="13" max="13" width="14.140625" customWidth="1"/>
    <col min="18" max="18" width="11" bestFit="1" customWidth="1"/>
  </cols>
  <sheetData>
    <row r="3" spans="4:17">
      <c r="D3" s="172" t="s">
        <v>245</v>
      </c>
      <c r="E3" s="172"/>
      <c r="F3" s="172"/>
      <c r="G3" s="172"/>
      <c r="J3" s="172" t="s">
        <v>166</v>
      </c>
      <c r="K3" s="172"/>
      <c r="L3" s="172"/>
      <c r="M3" s="172"/>
    </row>
    <row r="4" spans="4:17">
      <c r="D4" s="173">
        <v>44592</v>
      </c>
      <c r="E4" s="173"/>
      <c r="F4" s="173"/>
      <c r="G4" s="173"/>
      <c r="J4" s="173">
        <v>44620</v>
      </c>
      <c r="K4" s="173"/>
      <c r="L4" s="173"/>
      <c r="M4" s="173"/>
    </row>
    <row r="5" spans="4:17">
      <c r="D5" t="s">
        <v>11</v>
      </c>
      <c r="F5" s="68">
        <f>+'t-accounts month 1'!B35</f>
        <v>113825</v>
      </c>
      <c r="G5" s="103"/>
      <c r="J5" t="s">
        <v>11</v>
      </c>
      <c r="L5" s="68">
        <f>+'t-accounts month 2'!B30</f>
        <v>155875</v>
      </c>
    </row>
    <row r="6" spans="4:17">
      <c r="L6" s="68"/>
    </row>
    <row r="7" spans="4:17">
      <c r="D7" t="s">
        <v>156</v>
      </c>
      <c r="F7" s="55">
        <f>+'t-accounts month 1'!CA35</f>
        <v>400</v>
      </c>
      <c r="J7" t="s">
        <v>174</v>
      </c>
      <c r="L7" s="68">
        <v>400</v>
      </c>
    </row>
    <row r="8" spans="4:17">
      <c r="F8" s="55"/>
      <c r="L8" s="68"/>
      <c r="Q8" s="55"/>
    </row>
    <row r="9" spans="4:17">
      <c r="D9" t="s">
        <v>173</v>
      </c>
      <c r="F9" s="55">
        <f>'t-accounts month 1'!R35</f>
        <v>2525</v>
      </c>
      <c r="J9" t="s">
        <v>173</v>
      </c>
      <c r="L9" s="68">
        <v>455</v>
      </c>
      <c r="Q9" s="55"/>
    </row>
    <row r="10" spans="4:17">
      <c r="L10" s="68"/>
      <c r="Q10" s="55"/>
    </row>
    <row r="11" spans="4:17">
      <c r="D11" t="s">
        <v>106</v>
      </c>
      <c r="F11" s="55">
        <f>+'t-accounts month 1'!V35</f>
        <v>250</v>
      </c>
      <c r="J11" t="s">
        <v>106</v>
      </c>
      <c r="L11" s="68">
        <v>250</v>
      </c>
      <c r="Q11" s="55"/>
    </row>
    <row r="12" spans="4:17">
      <c r="L12" s="68"/>
      <c r="Q12" s="55"/>
    </row>
    <row r="13" spans="4:17">
      <c r="D13" t="s">
        <v>93</v>
      </c>
      <c r="F13" s="68">
        <f>+'t-accounts month 1'!AE35</f>
        <v>120000</v>
      </c>
      <c r="H13" s="55"/>
      <c r="J13" t="s">
        <v>93</v>
      </c>
      <c r="L13" s="68">
        <v>120000</v>
      </c>
      <c r="Q13" s="55"/>
    </row>
    <row r="14" spans="4:17">
      <c r="L14" s="68"/>
      <c r="Q14" s="55"/>
    </row>
    <row r="15" spans="4:17">
      <c r="D15" t="s">
        <v>160</v>
      </c>
      <c r="G15" s="68">
        <f>+'t-accounts month 1'!G35</f>
        <v>200000</v>
      </c>
      <c r="J15" t="s">
        <v>246</v>
      </c>
      <c r="L15" s="68"/>
      <c r="M15" s="68">
        <v>200000</v>
      </c>
      <c r="Q15" s="55"/>
    </row>
    <row r="16" spans="4:17">
      <c r="L16" s="68"/>
      <c r="Q16" s="55"/>
    </row>
    <row r="17" spans="4:18">
      <c r="D17" t="s">
        <v>237</v>
      </c>
      <c r="G17" s="68">
        <f>+'t-accounts month 1'!CJ35</f>
        <v>500</v>
      </c>
      <c r="J17" t="s">
        <v>257</v>
      </c>
      <c r="L17" s="68"/>
      <c r="M17" s="68">
        <v>36000</v>
      </c>
      <c r="Q17" s="55"/>
    </row>
    <row r="18" spans="4:18">
      <c r="L18" s="68"/>
      <c r="Q18" s="55"/>
    </row>
    <row r="19" spans="4:18">
      <c r="D19" t="s">
        <v>254</v>
      </c>
      <c r="G19" s="55">
        <f>+'t-accounts month 1'!AJ35</f>
        <v>14700</v>
      </c>
      <c r="J19" t="s">
        <v>237</v>
      </c>
      <c r="M19" s="68">
        <f>+'t-accounts month 2'!CM30</f>
        <v>1000</v>
      </c>
      <c r="Q19" s="55"/>
    </row>
    <row r="20" spans="4:18">
      <c r="O20" s="171"/>
      <c r="P20" s="171"/>
      <c r="Q20" s="55"/>
    </row>
    <row r="21" spans="4:18">
      <c r="D21" t="s">
        <v>158</v>
      </c>
      <c r="G21" s="55">
        <f>+'t-accounts month 1'!AN35</f>
        <v>14000</v>
      </c>
      <c r="J21" t="s">
        <v>88</v>
      </c>
      <c r="M21" s="68">
        <v>300</v>
      </c>
    </row>
    <row r="23" spans="4:18">
      <c r="D23" t="s">
        <v>161</v>
      </c>
      <c r="G23" s="55">
        <f>+'t-accounts month 1'!AR35</f>
        <v>1100</v>
      </c>
      <c r="J23" t="s">
        <v>138</v>
      </c>
      <c r="M23" s="68">
        <v>350</v>
      </c>
    </row>
    <row r="25" spans="4:18">
      <c r="D25" t="s">
        <v>162</v>
      </c>
      <c r="G25" s="55">
        <f>+'t-accounts month 1'!BP35</f>
        <v>1800</v>
      </c>
      <c r="J25" t="s">
        <v>139</v>
      </c>
      <c r="M25" s="68">
        <v>100</v>
      </c>
    </row>
    <row r="27" spans="4:18">
      <c r="D27" t="s">
        <v>163</v>
      </c>
      <c r="G27" s="55">
        <f>+'t-accounts month 1'!BT35</f>
        <v>800</v>
      </c>
      <c r="J27" t="s">
        <v>161</v>
      </c>
      <c r="M27" s="68">
        <v>1100</v>
      </c>
    </row>
    <row r="29" spans="4:18">
      <c r="D29" t="s">
        <v>95</v>
      </c>
      <c r="G29" s="55">
        <f>+'t-accounts month 1'!BD35</f>
        <v>16200</v>
      </c>
      <c r="J29" t="s">
        <v>157</v>
      </c>
      <c r="M29" s="68">
        <v>14700</v>
      </c>
    </row>
    <row r="31" spans="4:18">
      <c r="D31" t="s">
        <v>159</v>
      </c>
      <c r="G31" s="55">
        <f>+'t-accounts month 1'!BH35</f>
        <v>300</v>
      </c>
      <c r="J31" t="s">
        <v>158</v>
      </c>
      <c r="M31" s="68">
        <v>14000</v>
      </c>
      <c r="R31" s="55"/>
    </row>
    <row r="33" spans="4:18">
      <c r="D33" t="s">
        <v>100</v>
      </c>
      <c r="G33" s="55">
        <f>+'t-accounts month 1'!BL35</f>
        <v>12000</v>
      </c>
      <c r="J33" t="s">
        <v>95</v>
      </c>
      <c r="M33" s="68">
        <v>16200</v>
      </c>
      <c r="R33" s="55"/>
    </row>
    <row r="34" spans="4:18">
      <c r="R34" s="55"/>
    </row>
    <row r="35" spans="4:18">
      <c r="D35" t="s">
        <v>71</v>
      </c>
      <c r="F35" s="55">
        <f>+'t-accounts month 1'!AU35</f>
        <v>5700</v>
      </c>
      <c r="J35" t="s">
        <v>100</v>
      </c>
      <c r="M35" s="68">
        <v>15000</v>
      </c>
      <c r="R35" s="55"/>
    </row>
    <row r="37" spans="4:18">
      <c r="D37" t="s">
        <v>165</v>
      </c>
      <c r="F37" s="12">
        <f>+'t-accounts month 1'!AY35</f>
        <v>13700</v>
      </c>
      <c r="L37" s="68"/>
    </row>
    <row r="39" spans="4:18">
      <c r="D39" t="s">
        <v>164</v>
      </c>
      <c r="F39" s="55">
        <f>+'t-accounts month 1'!BW35</f>
        <v>4500</v>
      </c>
      <c r="L39" s="68"/>
    </row>
    <row r="41" spans="4:18">
      <c r="D41" t="s">
        <v>238</v>
      </c>
      <c r="F41" s="68">
        <f>+'t-accounts month 1'!CE35</f>
        <v>500</v>
      </c>
      <c r="L41" s="68"/>
    </row>
    <row r="42" spans="4:18">
      <c r="N42" s="55"/>
    </row>
    <row r="43" spans="4:18">
      <c r="D43" s="73" t="s">
        <v>127</v>
      </c>
      <c r="E43" s="73"/>
      <c r="F43" s="74">
        <f>SUM(F5:F41)</f>
        <v>261400</v>
      </c>
      <c r="G43" s="74">
        <f>SUM(G15:G33)</f>
        <v>261400</v>
      </c>
      <c r="J43" t="s">
        <v>71</v>
      </c>
      <c r="L43" s="68">
        <v>5700</v>
      </c>
      <c r="N43" s="55"/>
    </row>
    <row r="44" spans="4:18">
      <c r="N44" s="55"/>
    </row>
    <row r="45" spans="4:18">
      <c r="D45" s="176" t="s">
        <v>1</v>
      </c>
      <c r="E45" s="176"/>
      <c r="F45" s="176"/>
      <c r="G45" s="176"/>
      <c r="J45" t="s">
        <v>165</v>
      </c>
      <c r="L45" s="68">
        <v>13700</v>
      </c>
      <c r="N45" s="55"/>
    </row>
    <row r="46" spans="4:18">
      <c r="D46" s="174" t="s">
        <v>128</v>
      </c>
      <c r="E46" s="174"/>
      <c r="F46" s="174"/>
      <c r="G46" s="174"/>
      <c r="N46" s="55"/>
    </row>
    <row r="47" spans="4:18">
      <c r="D47" s="174">
        <v>44592</v>
      </c>
      <c r="E47" s="174"/>
      <c r="F47" s="174"/>
      <c r="G47" s="174"/>
      <c r="J47" t="s">
        <v>238</v>
      </c>
      <c r="L47" s="68">
        <v>500</v>
      </c>
    </row>
    <row r="48" spans="4:18">
      <c r="D48" s="175" t="s">
        <v>18</v>
      </c>
      <c r="E48" s="175"/>
      <c r="F48" s="175"/>
      <c r="G48" s="175"/>
    </row>
    <row r="49" spans="4:26">
      <c r="D49" t="s">
        <v>157</v>
      </c>
      <c r="G49" s="55">
        <f>G19</f>
        <v>14700</v>
      </c>
    </row>
    <row r="50" spans="4:26">
      <c r="J50" s="141" t="s">
        <v>169</v>
      </c>
      <c r="K50" s="141"/>
      <c r="L50" s="142">
        <v>178600</v>
      </c>
      <c r="M50" s="142">
        <v>62750</v>
      </c>
    </row>
    <row r="51" spans="4:26">
      <c r="D51" t="s">
        <v>158</v>
      </c>
      <c r="G51" s="55">
        <f>G21</f>
        <v>14000</v>
      </c>
      <c r="J51" s="143"/>
      <c r="K51" s="143"/>
      <c r="L51" s="143"/>
      <c r="M51" s="143"/>
    </row>
    <row r="52" spans="4:26">
      <c r="J52" s="141"/>
      <c r="K52" s="141"/>
      <c r="L52" s="142"/>
      <c r="M52" s="142"/>
    </row>
    <row r="53" spans="4:26">
      <c r="D53" t="s">
        <v>161</v>
      </c>
      <c r="G53" s="55">
        <f>G23</f>
        <v>1100</v>
      </c>
      <c r="J53" s="141" t="s">
        <v>169</v>
      </c>
      <c r="K53" s="141"/>
      <c r="L53" s="142">
        <f>SUM(L5:L47)</f>
        <v>296880</v>
      </c>
      <c r="M53" s="142">
        <f>SUM(M6:M49)</f>
        <v>298750</v>
      </c>
    </row>
    <row r="54" spans="4:26">
      <c r="J54" s="143"/>
      <c r="K54" s="143"/>
      <c r="L54" s="143"/>
      <c r="M54" s="143"/>
    </row>
    <row r="55" spans="4:26">
      <c r="D55" t="s">
        <v>162</v>
      </c>
      <c r="G55" s="55">
        <f>G25</f>
        <v>1800</v>
      </c>
      <c r="J55" s="176" t="s">
        <v>1</v>
      </c>
      <c r="K55" s="176"/>
      <c r="L55" s="176"/>
      <c r="M55" s="176"/>
    </row>
    <row r="56" spans="4:26">
      <c r="J56" s="176" t="s">
        <v>128</v>
      </c>
      <c r="K56" s="176"/>
      <c r="L56" s="176"/>
      <c r="M56" s="176"/>
    </row>
    <row r="57" spans="4:26">
      <c r="D57" t="s">
        <v>163</v>
      </c>
      <c r="G57" s="55">
        <f>G27</f>
        <v>800</v>
      </c>
      <c r="J57" s="173">
        <v>44620</v>
      </c>
      <c r="K57" s="173"/>
      <c r="L57" s="173"/>
      <c r="M57" s="173"/>
      <c r="R57" s="66"/>
      <c r="T57" s="67"/>
      <c r="U57" s="55"/>
      <c r="X57" s="66"/>
      <c r="Z57" s="67"/>
    </row>
    <row r="58" spans="4:26">
      <c r="J58" t="s">
        <v>88</v>
      </c>
      <c r="M58" s="68">
        <v>300</v>
      </c>
    </row>
    <row r="59" spans="4:26">
      <c r="D59" t="s">
        <v>95</v>
      </c>
      <c r="G59" s="55">
        <f>G29</f>
        <v>16200</v>
      </c>
      <c r="U59" s="55"/>
      <c r="Z59" s="55"/>
    </row>
    <row r="60" spans="4:26">
      <c r="J60" t="s">
        <v>138</v>
      </c>
      <c r="M60" s="68">
        <v>350</v>
      </c>
    </row>
    <row r="61" spans="4:26">
      <c r="D61" t="s">
        <v>159</v>
      </c>
      <c r="G61" s="55">
        <f>G31</f>
        <v>300</v>
      </c>
      <c r="U61" s="55"/>
      <c r="Z61" s="55"/>
    </row>
    <row r="62" spans="4:26">
      <c r="J62" t="s">
        <v>139</v>
      </c>
      <c r="M62" s="68">
        <v>100</v>
      </c>
    </row>
    <row r="63" spans="4:26">
      <c r="D63" t="s">
        <v>100</v>
      </c>
      <c r="G63" s="55">
        <f>G33</f>
        <v>12000</v>
      </c>
      <c r="U63" s="55"/>
      <c r="Z63" s="55"/>
    </row>
    <row r="64" spans="4:26">
      <c r="F64" s="55"/>
      <c r="J64" t="s">
        <v>108</v>
      </c>
      <c r="M64" s="68">
        <v>1100</v>
      </c>
    </row>
    <row r="65" spans="4:26">
      <c r="E65" s="69" t="s">
        <v>127</v>
      </c>
      <c r="G65" s="67">
        <f>SUM(G49:G63)</f>
        <v>60900</v>
      </c>
      <c r="U65" s="55"/>
      <c r="Z65" s="55"/>
    </row>
    <row r="66" spans="4:26">
      <c r="F66" s="55"/>
      <c r="J66" t="s">
        <v>157</v>
      </c>
      <c r="M66" s="68">
        <v>14700</v>
      </c>
      <c r="S66" s="55"/>
      <c r="Y66" s="55"/>
    </row>
    <row r="67" spans="4:26">
      <c r="D67" s="70" t="s">
        <v>129</v>
      </c>
      <c r="E67" s="70"/>
      <c r="F67" s="70"/>
      <c r="G67" s="70"/>
      <c r="R67" s="66"/>
      <c r="T67" s="67"/>
      <c r="X67" s="66"/>
      <c r="Z67" s="67"/>
    </row>
    <row r="68" spans="4:26">
      <c r="D68" t="s">
        <v>71</v>
      </c>
      <c r="F68" s="55">
        <f>F35</f>
        <v>5700</v>
      </c>
      <c r="J68" t="s">
        <v>158</v>
      </c>
      <c r="M68" s="68">
        <v>14000</v>
      </c>
    </row>
    <row r="70" spans="4:26">
      <c r="D70" t="s">
        <v>165</v>
      </c>
      <c r="F70" s="55">
        <f>F37</f>
        <v>13700</v>
      </c>
      <c r="J70" t="s">
        <v>95</v>
      </c>
      <c r="M70" s="68">
        <v>16200</v>
      </c>
    </row>
    <row r="72" spans="4:26">
      <c r="D72" t="s">
        <v>164</v>
      </c>
      <c r="F72" s="55">
        <f>F39</f>
        <v>4500</v>
      </c>
      <c r="J72" t="s">
        <v>100</v>
      </c>
      <c r="M72" s="68">
        <v>15000</v>
      </c>
    </row>
    <row r="74" spans="4:26">
      <c r="D74" t="s">
        <v>238</v>
      </c>
      <c r="F74" s="68">
        <f>F41</f>
        <v>500</v>
      </c>
      <c r="J74" t="s">
        <v>170</v>
      </c>
      <c r="L74" s="68">
        <v>1555</v>
      </c>
      <c r="M74" s="67"/>
    </row>
    <row r="76" spans="4:26">
      <c r="E76" s="69" t="s">
        <v>127</v>
      </c>
      <c r="F76" s="67">
        <f>SUM(F68:F74)</f>
        <v>24400</v>
      </c>
      <c r="J76" t="s">
        <v>171</v>
      </c>
      <c r="L76" s="68">
        <v>515</v>
      </c>
    </row>
    <row r="78" spans="4:26">
      <c r="D78" s="105" t="s">
        <v>131</v>
      </c>
      <c r="E78" s="105"/>
      <c r="F78" s="106"/>
      <c r="G78" s="107">
        <f>SUM(G65-F76)</f>
        <v>36500</v>
      </c>
      <c r="J78" t="s">
        <v>172</v>
      </c>
      <c r="L78" s="68">
        <v>300</v>
      </c>
      <c r="M78" s="68"/>
    </row>
    <row r="80" spans="4:26">
      <c r="J80" t="s">
        <v>71</v>
      </c>
      <c r="L80" s="68">
        <v>5700</v>
      </c>
      <c r="N80" s="55"/>
    </row>
    <row r="81" spans="4:13">
      <c r="D81" s="176" t="s">
        <v>1</v>
      </c>
      <c r="E81" s="176"/>
      <c r="F81" s="176"/>
      <c r="G81" s="176"/>
    </row>
    <row r="82" spans="4:13">
      <c r="D82" s="176" t="s">
        <v>229</v>
      </c>
      <c r="E82" s="176"/>
      <c r="F82" s="176"/>
      <c r="G82" s="176"/>
      <c r="J82" t="s">
        <v>165</v>
      </c>
      <c r="L82" s="68">
        <v>13700</v>
      </c>
    </row>
    <row r="83" spans="4:13">
      <c r="D83" s="176" t="s">
        <v>230</v>
      </c>
      <c r="E83" s="176"/>
      <c r="F83" s="176"/>
      <c r="G83" s="176"/>
    </row>
    <row r="84" spans="4:13">
      <c r="D84" s="177" t="s">
        <v>18</v>
      </c>
      <c r="E84" s="177"/>
      <c r="F84" s="177"/>
      <c r="G84" s="177"/>
      <c r="J84" t="s">
        <v>238</v>
      </c>
      <c r="L84" s="68">
        <v>500</v>
      </c>
    </row>
    <row r="85" spans="4:13">
      <c r="D85" t="s">
        <v>82</v>
      </c>
      <c r="G85" s="55">
        <v>0</v>
      </c>
    </row>
    <row r="86" spans="4:13">
      <c r="K86" t="s">
        <v>127</v>
      </c>
      <c r="L86" s="68">
        <f>SUM(L74:L84)</f>
        <v>22270</v>
      </c>
      <c r="M86" s="68">
        <f>SUM(M58:M72)</f>
        <v>61750</v>
      </c>
    </row>
    <row r="87" spans="4:13">
      <c r="D87" t="s">
        <v>61</v>
      </c>
      <c r="G87" s="55">
        <f>G78</f>
        <v>36500</v>
      </c>
    </row>
    <row r="88" spans="4:13">
      <c r="J88" s="104" t="s">
        <v>228</v>
      </c>
      <c r="K88" s="104"/>
      <c r="L88" s="104"/>
      <c r="M88" s="107">
        <f>M86-L86</f>
        <v>39480</v>
      </c>
    </row>
    <row r="89" spans="4:13">
      <c r="D89" t="s">
        <v>82</v>
      </c>
      <c r="G89" s="67">
        <v>36500</v>
      </c>
    </row>
    <row r="91" spans="4:13">
      <c r="J91" s="176" t="s">
        <v>1</v>
      </c>
      <c r="K91" s="176"/>
      <c r="L91" s="176"/>
      <c r="M91" s="176"/>
    </row>
    <row r="92" spans="4:13">
      <c r="D92" s="176" t="s">
        <v>1</v>
      </c>
      <c r="E92" s="176"/>
      <c r="F92" s="176"/>
      <c r="G92" s="176"/>
      <c r="J92" s="176" t="s">
        <v>229</v>
      </c>
      <c r="K92" s="176"/>
      <c r="L92" s="176"/>
      <c r="M92" s="176"/>
    </row>
    <row r="93" spans="4:13">
      <c r="D93" s="172" t="s">
        <v>54</v>
      </c>
      <c r="E93" s="172"/>
      <c r="F93" s="172"/>
      <c r="G93" s="172"/>
      <c r="J93" s="176" t="s">
        <v>256</v>
      </c>
      <c r="K93" s="176"/>
      <c r="L93" s="176"/>
      <c r="M93" s="176"/>
    </row>
    <row r="94" spans="4:13">
      <c r="D94" s="173">
        <v>44592</v>
      </c>
      <c r="E94" s="173"/>
      <c r="F94" s="173"/>
      <c r="G94" s="173"/>
      <c r="J94" s="177" t="s">
        <v>18</v>
      </c>
      <c r="K94" s="177"/>
      <c r="L94" s="177"/>
      <c r="M94" s="177"/>
    </row>
    <row r="95" spans="4:13">
      <c r="J95" t="s">
        <v>82</v>
      </c>
      <c r="M95" s="55">
        <v>39480</v>
      </c>
    </row>
    <row r="96" spans="4:13">
      <c r="D96" s="111" t="s">
        <v>10</v>
      </c>
    </row>
    <row r="97" spans="4:13">
      <c r="F97" s="55"/>
      <c r="G97" s="55"/>
      <c r="J97" t="s">
        <v>61</v>
      </c>
      <c r="M97" s="55">
        <v>37000</v>
      </c>
    </row>
    <row r="98" spans="4:13">
      <c r="D98" t="s">
        <v>11</v>
      </c>
      <c r="F98" s="55">
        <v>113825</v>
      </c>
      <c r="G98" s="55"/>
    </row>
    <row r="99" spans="4:13">
      <c r="F99" s="55"/>
      <c r="G99" s="55"/>
      <c r="J99" t="s">
        <v>82</v>
      </c>
      <c r="M99" s="67">
        <f>SUM(M95:M97)</f>
        <v>76480</v>
      </c>
    </row>
    <row r="100" spans="4:13">
      <c r="D100" t="s">
        <v>156</v>
      </c>
      <c r="F100" s="55">
        <v>400</v>
      </c>
      <c r="G100" s="55"/>
    </row>
    <row r="101" spans="4:13">
      <c r="F101" s="55"/>
      <c r="G101" s="55"/>
    </row>
    <row r="102" spans="4:13">
      <c r="D102" t="s">
        <v>173</v>
      </c>
      <c r="F102" s="55">
        <v>2525</v>
      </c>
      <c r="G102" s="55"/>
      <c r="J102" s="176" t="s">
        <v>1</v>
      </c>
      <c r="K102" s="176"/>
      <c r="L102" s="176"/>
      <c r="M102" s="176"/>
    </row>
    <row r="103" spans="4:13">
      <c r="F103" s="55"/>
      <c r="G103" s="55"/>
      <c r="J103" s="172" t="s">
        <v>54</v>
      </c>
      <c r="K103" s="172"/>
      <c r="L103" s="172"/>
      <c r="M103" s="172"/>
    </row>
    <row r="104" spans="4:13">
      <c r="D104" t="s">
        <v>106</v>
      </c>
      <c r="F104" s="55">
        <v>250</v>
      </c>
      <c r="G104" s="55"/>
      <c r="J104" s="173">
        <v>44620</v>
      </c>
      <c r="K104" s="173"/>
      <c r="L104" s="173"/>
      <c r="M104" s="173"/>
    </row>
    <row r="105" spans="4:13">
      <c r="F105" s="55"/>
      <c r="G105" s="55"/>
    </row>
    <row r="106" spans="4:13">
      <c r="D106" t="s">
        <v>93</v>
      </c>
      <c r="F106" s="55">
        <v>120000</v>
      </c>
      <c r="G106" s="55"/>
      <c r="J106" s="111" t="s">
        <v>10</v>
      </c>
    </row>
    <row r="107" spans="4:13">
      <c r="F107" s="55"/>
      <c r="G107" s="55"/>
    </row>
    <row r="108" spans="4:13">
      <c r="D108" s="171" t="s">
        <v>239</v>
      </c>
      <c r="E108" s="171"/>
      <c r="F108" s="55">
        <v>-500</v>
      </c>
      <c r="G108" s="55"/>
      <c r="J108" t="s">
        <v>11</v>
      </c>
      <c r="L108" s="55">
        <v>40250</v>
      </c>
    </row>
    <row r="110" spans="4:13">
      <c r="D110" s="111" t="s">
        <v>240</v>
      </c>
      <c r="E110" s="111"/>
      <c r="F110" s="113">
        <f>SUM(F98+F100+F102+F104+F106-500)</f>
        <v>236500</v>
      </c>
      <c r="G110" s="113"/>
      <c r="J110" t="s">
        <v>125</v>
      </c>
      <c r="L110" s="55">
        <v>2100</v>
      </c>
    </row>
    <row r="112" spans="4:13">
      <c r="D112" s="111" t="s">
        <v>15</v>
      </c>
      <c r="J112" t="s">
        <v>146</v>
      </c>
      <c r="L112" s="138">
        <v>2370</v>
      </c>
    </row>
    <row r="114" spans="4:13">
      <c r="J114" t="s">
        <v>237</v>
      </c>
      <c r="L114" s="138">
        <v>-1000</v>
      </c>
    </row>
    <row r="117" spans="4:13">
      <c r="J117" s="111" t="s">
        <v>240</v>
      </c>
      <c r="K117" s="112"/>
      <c r="L117" s="112"/>
      <c r="M117" s="112"/>
    </row>
    <row r="119" spans="4:13">
      <c r="J119" s="111" t="s">
        <v>15</v>
      </c>
    </row>
    <row r="120" spans="4:13">
      <c r="D120" s="111" t="s">
        <v>241</v>
      </c>
      <c r="E120" s="111"/>
      <c r="F120" s="111"/>
      <c r="G120" s="113"/>
    </row>
    <row r="122" spans="4:13">
      <c r="D122" s="111" t="s">
        <v>242</v>
      </c>
      <c r="E122" s="112"/>
    </row>
    <row r="124" spans="4:13">
      <c r="D124" t="s">
        <v>246</v>
      </c>
      <c r="G124" s="55">
        <v>200000</v>
      </c>
    </row>
    <row r="126" spans="4:13">
      <c r="D126" t="s">
        <v>237</v>
      </c>
      <c r="G126" s="55">
        <v>500</v>
      </c>
    </row>
    <row r="127" spans="4:13">
      <c r="G127" s="55"/>
      <c r="J127" s="111" t="s">
        <v>241</v>
      </c>
      <c r="K127" s="111"/>
      <c r="L127" s="111"/>
      <c r="M127" s="113"/>
    </row>
    <row r="128" spans="4:13">
      <c r="D128" t="s">
        <v>82</v>
      </c>
      <c r="G128" s="55">
        <v>36000</v>
      </c>
    </row>
    <row r="129" spans="4:13">
      <c r="J129" s="111" t="s">
        <v>242</v>
      </c>
      <c r="K129" s="112"/>
    </row>
    <row r="130" spans="4:13">
      <c r="D130" s="111" t="s">
        <v>243</v>
      </c>
      <c r="E130" s="111"/>
      <c r="F130" s="111"/>
      <c r="G130" s="113">
        <v>236500</v>
      </c>
    </row>
    <row r="133" spans="4:13">
      <c r="D133" s="111" t="s">
        <v>244</v>
      </c>
      <c r="E133" s="111"/>
      <c r="F133" s="111"/>
      <c r="G133" s="113">
        <v>236500</v>
      </c>
    </row>
    <row r="137" spans="4:13">
      <c r="J137" s="111" t="s">
        <v>243</v>
      </c>
      <c r="K137" s="111"/>
      <c r="L137" s="111"/>
      <c r="M137" s="113"/>
    </row>
    <row r="139" spans="4:13">
      <c r="D139" s="111"/>
      <c r="E139" s="111"/>
      <c r="F139" s="111"/>
      <c r="G139" s="113"/>
    </row>
    <row r="140" spans="4:13">
      <c r="J140" s="111" t="s">
        <v>244</v>
      </c>
      <c r="K140" s="111"/>
      <c r="L140" s="111"/>
      <c r="M140" s="113"/>
    </row>
    <row r="142" spans="4:13">
      <c r="J142" s="111"/>
      <c r="K142" s="111"/>
      <c r="L142" s="111"/>
      <c r="M142" s="113"/>
    </row>
    <row r="145" spans="10:13">
      <c r="J145" s="111"/>
      <c r="K145" s="111"/>
      <c r="L145" s="111"/>
      <c r="M145" s="113"/>
    </row>
    <row r="151" spans="10:13">
      <c r="J151" s="111"/>
      <c r="K151" s="111"/>
      <c r="L151" s="111"/>
      <c r="M151" s="113"/>
    </row>
  </sheetData>
  <mergeCells count="27">
    <mergeCell ref="D108:E108"/>
    <mergeCell ref="D3:G3"/>
    <mergeCell ref="D4:G4"/>
    <mergeCell ref="J3:M3"/>
    <mergeCell ref="J4:M4"/>
    <mergeCell ref="D47:G47"/>
    <mergeCell ref="D46:G46"/>
    <mergeCell ref="D48:G48"/>
    <mergeCell ref="D45:G45"/>
    <mergeCell ref="J55:M55"/>
    <mergeCell ref="D92:G92"/>
    <mergeCell ref="J102:M102"/>
    <mergeCell ref="J56:M56"/>
    <mergeCell ref="J57:M57"/>
    <mergeCell ref="J92:M92"/>
    <mergeCell ref="J93:M93"/>
    <mergeCell ref="O20:P20"/>
    <mergeCell ref="D93:G93"/>
    <mergeCell ref="D94:G94"/>
    <mergeCell ref="J103:M103"/>
    <mergeCell ref="J104:M104"/>
    <mergeCell ref="J94:M94"/>
    <mergeCell ref="D81:G81"/>
    <mergeCell ref="J91:M91"/>
    <mergeCell ref="D82:G82"/>
    <mergeCell ref="D83:G83"/>
    <mergeCell ref="D84:G8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8149-748E-294C-B3C7-C603AB265A7F}">
  <dimension ref="A1:H35"/>
  <sheetViews>
    <sheetView workbookViewId="0">
      <selection activeCell="F21" sqref="F21"/>
    </sheetView>
  </sheetViews>
  <sheetFormatPr baseColWidth="10" defaultColWidth="10.7109375" defaultRowHeight="17"/>
  <cols>
    <col min="1" max="1" width="3.42578125" style="26" customWidth="1"/>
    <col min="2" max="2" width="42.7109375" style="26" customWidth="1"/>
    <col min="3" max="3" width="10.7109375" style="26" customWidth="1"/>
    <col min="4" max="4" width="2.140625" style="26" customWidth="1"/>
    <col min="5" max="5" width="42.7109375" style="26" customWidth="1"/>
    <col min="6" max="6" width="10.7109375" style="27"/>
    <col min="7" max="7" width="3" style="43" customWidth="1"/>
    <col min="8" max="8" width="35.7109375" style="28" customWidth="1"/>
    <col min="9" max="14" width="10.7109375" style="26"/>
    <col min="15" max="15" width="34.42578125" style="26" customWidth="1"/>
    <col min="16" max="18" width="10.7109375" style="26"/>
    <col min="19" max="19" width="26.5703125" style="26" customWidth="1"/>
    <col min="20" max="20" width="10.7109375" style="26"/>
    <col min="21" max="21" width="14.28515625" style="26" customWidth="1"/>
    <col min="22" max="16384" width="10.7109375" style="26"/>
  </cols>
  <sheetData>
    <row r="1" spans="1:8" ht="34" customHeight="1">
      <c r="A1" s="27"/>
      <c r="B1" s="178" t="s">
        <v>53</v>
      </c>
      <c r="C1" s="178"/>
      <c r="D1" s="178"/>
      <c r="E1" s="178"/>
      <c r="F1" s="178"/>
      <c r="H1" s="26"/>
    </row>
    <row r="2" spans="1:8" ht="34" customHeight="1">
      <c r="A2" s="27"/>
      <c r="B2" s="179" t="s">
        <v>236</v>
      </c>
      <c r="C2" s="179"/>
      <c r="D2" s="179"/>
      <c r="E2" s="179"/>
      <c r="F2" s="179"/>
      <c r="H2" s="26"/>
    </row>
    <row r="3" spans="1:8" ht="23" customHeight="1">
      <c r="A3" s="27"/>
      <c r="B3" s="38" t="s">
        <v>55</v>
      </c>
      <c r="C3" s="39">
        <v>44592</v>
      </c>
      <c r="D3" s="39">
        <v>44593</v>
      </c>
      <c r="E3" s="40"/>
      <c r="F3" s="40"/>
      <c r="H3" s="26"/>
    </row>
    <row r="4" spans="1:8" ht="17" customHeight="1">
      <c r="A4" s="28"/>
      <c r="B4" s="31"/>
      <c r="C4" s="31"/>
      <c r="D4" s="31"/>
      <c r="E4" s="53"/>
      <c r="F4" s="41"/>
      <c r="H4" s="26"/>
    </row>
    <row r="5" spans="1:8" ht="17" customHeight="1">
      <c r="A5" s="27"/>
      <c r="B5" s="34" t="s">
        <v>56</v>
      </c>
      <c r="C5" s="35"/>
      <c r="D5" s="33"/>
      <c r="E5" s="34" t="s">
        <v>57</v>
      </c>
      <c r="F5" s="35"/>
      <c r="H5" s="26"/>
    </row>
    <row r="6" spans="1:8" ht="17" customHeight="1">
      <c r="B6" s="29" t="s">
        <v>58</v>
      </c>
      <c r="C6" s="44"/>
      <c r="E6" s="29" t="s">
        <v>59</v>
      </c>
      <c r="F6" s="48"/>
      <c r="H6" s="26"/>
    </row>
    <row r="7" spans="1:8">
      <c r="B7" s="26" t="s">
        <v>11</v>
      </c>
      <c r="C7" s="45">
        <v>113825</v>
      </c>
      <c r="E7" s="26" t="s">
        <v>60</v>
      </c>
      <c r="F7" s="49" t="e">
        <f>+#REF!</f>
        <v>#REF!</v>
      </c>
      <c r="H7" s="26"/>
    </row>
    <row r="8" spans="1:8">
      <c r="B8" s="26" t="s">
        <v>50</v>
      </c>
      <c r="C8" s="45"/>
      <c r="E8" s="26" t="s">
        <v>49</v>
      </c>
      <c r="F8" s="49" t="e">
        <f>+#REF!</f>
        <v>#REF!</v>
      </c>
      <c r="H8" s="26"/>
    </row>
    <row r="9" spans="1:8">
      <c r="C9" s="45"/>
      <c r="E9" s="26" t="s">
        <v>62</v>
      </c>
      <c r="F9" s="49"/>
      <c r="H9" s="26"/>
    </row>
    <row r="10" spans="1:8">
      <c r="B10" s="26" t="s">
        <v>63</v>
      </c>
      <c r="C10" s="45"/>
      <c r="E10" s="26" t="s">
        <v>64</v>
      </c>
      <c r="F10" s="49"/>
      <c r="H10" s="26"/>
    </row>
    <row r="11" spans="1:8">
      <c r="C11" s="45"/>
      <c r="E11" s="26" t="s">
        <v>65</v>
      </c>
      <c r="F11" s="49"/>
      <c r="H11" s="26"/>
    </row>
    <row r="12" spans="1:8">
      <c r="A12" s="27"/>
      <c r="B12" s="32"/>
      <c r="C12" s="46"/>
      <c r="D12" s="28"/>
      <c r="E12" s="32" t="s">
        <v>66</v>
      </c>
      <c r="F12" s="50"/>
      <c r="H12" s="26"/>
    </row>
    <row r="13" spans="1:8">
      <c r="B13" s="36" t="s">
        <v>67</v>
      </c>
      <c r="C13" s="47">
        <f>+SUM(C7:C12)</f>
        <v>113825</v>
      </c>
      <c r="D13" s="27"/>
      <c r="E13" s="37" t="s">
        <v>68</v>
      </c>
      <c r="F13" s="47" t="e">
        <f>+SUM(F7:F12)</f>
        <v>#REF!</v>
      </c>
      <c r="H13" s="26"/>
    </row>
    <row r="14" spans="1:8">
      <c r="B14" s="29" t="s">
        <v>69</v>
      </c>
      <c r="C14" s="44"/>
      <c r="E14" s="29" t="s">
        <v>70</v>
      </c>
      <c r="F14" s="48"/>
      <c r="H14" s="26"/>
    </row>
    <row r="15" spans="1:8">
      <c r="B15" s="26" t="s">
        <v>72</v>
      </c>
      <c r="C15" s="45">
        <v>120000</v>
      </c>
      <c r="E15" s="26" t="s">
        <v>73</v>
      </c>
      <c r="F15" s="49"/>
      <c r="H15" s="26"/>
    </row>
    <row r="16" spans="1:8">
      <c r="B16" s="26" t="s">
        <v>74</v>
      </c>
      <c r="C16" s="45">
        <v>5700</v>
      </c>
      <c r="E16" s="26" t="s">
        <v>75</v>
      </c>
      <c r="F16" s="49"/>
      <c r="H16" s="26"/>
    </row>
    <row r="17" spans="1:8">
      <c r="C17" s="45"/>
      <c r="E17" s="32" t="s">
        <v>76</v>
      </c>
      <c r="F17" s="50"/>
      <c r="H17" s="26"/>
    </row>
    <row r="18" spans="1:8">
      <c r="A18" s="27"/>
      <c r="B18" s="32"/>
      <c r="C18" s="46"/>
      <c r="D18" s="30"/>
      <c r="E18" s="37" t="s">
        <v>77</v>
      </c>
      <c r="F18" s="47">
        <f>+SUM(F15:F17)</f>
        <v>0</v>
      </c>
      <c r="H18" s="26"/>
    </row>
    <row r="19" spans="1:8">
      <c r="B19" s="36" t="s">
        <v>78</v>
      </c>
      <c r="C19" s="47">
        <f>+SUM(C14:C18)</f>
        <v>125700</v>
      </c>
      <c r="E19" s="29" t="s">
        <v>79</v>
      </c>
      <c r="F19" s="48"/>
      <c r="H19" s="26"/>
    </row>
    <row r="20" spans="1:8">
      <c r="B20" s="29" t="s">
        <v>80</v>
      </c>
      <c r="C20" s="44"/>
      <c r="E20" s="26" t="s">
        <v>48</v>
      </c>
      <c r="F20" s="49">
        <v>200000</v>
      </c>
      <c r="H20" s="26"/>
    </row>
    <row r="21" spans="1:8">
      <c r="B21" s="26" t="s">
        <v>81</v>
      </c>
      <c r="C21" s="45"/>
      <c r="E21" s="26" t="s">
        <v>82</v>
      </c>
      <c r="F21" s="49" t="e">
        <f>+#REF!</f>
        <v>#REF!</v>
      </c>
      <c r="H21" s="26"/>
    </row>
    <row r="22" spans="1:8">
      <c r="A22" s="27"/>
      <c r="B22" s="32" t="s">
        <v>83</v>
      </c>
      <c r="C22" s="46"/>
      <c r="D22" s="28"/>
      <c r="E22" s="32" t="s">
        <v>51</v>
      </c>
      <c r="F22" s="50" t="e">
        <f>-#REF!</f>
        <v>#REF!</v>
      </c>
      <c r="H22" s="26"/>
    </row>
    <row r="23" spans="1:8">
      <c r="B23" s="36" t="s">
        <v>84</v>
      </c>
      <c r="C23" s="47">
        <f>+SUM(C20:C22)</f>
        <v>0</v>
      </c>
      <c r="D23" s="27"/>
      <c r="E23" s="37" t="s">
        <v>85</v>
      </c>
      <c r="F23" s="47" t="e">
        <f>+SUM(F20:F22)</f>
        <v>#REF!</v>
      </c>
      <c r="H23" s="26"/>
    </row>
    <row r="24" spans="1:8">
      <c r="B24" s="29"/>
      <c r="C24" s="29"/>
      <c r="E24" s="29"/>
      <c r="F24" s="42"/>
      <c r="H24" s="26"/>
    </row>
    <row r="25" spans="1:8">
      <c r="C25" s="45">
        <f>+C23+C19+C13</f>
        <v>239525</v>
      </c>
      <c r="F25" s="49" t="e">
        <f>+F23+F18+F13</f>
        <v>#REF!</v>
      </c>
      <c r="H25" s="26"/>
    </row>
    <row r="26" spans="1:8">
      <c r="B26" s="45"/>
      <c r="E26" s="45"/>
      <c r="H26" s="26"/>
    </row>
    <row r="27" spans="1:8">
      <c r="B27" s="26" t="e">
        <f>+IF((C13+C19+C23)=(F13+F18+F23),"This Financial Statement is BALANCED","PLEASE CHECK!!! THERE IS SOMETHING MISSING")</f>
        <v>#REF!</v>
      </c>
      <c r="H27" s="26"/>
    </row>
    <row r="28" spans="1:8">
      <c r="H28" s="26"/>
    </row>
    <row r="29" spans="1:8">
      <c r="H29" s="26"/>
    </row>
    <row r="30" spans="1:8">
      <c r="H30" s="26"/>
    </row>
    <row r="31" spans="1:8">
      <c r="H31" s="26"/>
    </row>
    <row r="32" spans="1:8">
      <c r="H32" s="26"/>
    </row>
    <row r="33" spans="7:8">
      <c r="G33" s="51">
        <v>0</v>
      </c>
      <c r="H33" s="26"/>
    </row>
    <row r="34" spans="7:8">
      <c r="H34" s="26"/>
    </row>
    <row r="35" spans="7:8">
      <c r="H35" s="26"/>
    </row>
  </sheetData>
  <mergeCells count="2">
    <mergeCell ref="B1:F1"/>
    <mergeCell ref="B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General Ledger</vt:lpstr>
      <vt:lpstr>COGS</vt:lpstr>
      <vt:lpstr>t-accounts month 1</vt:lpstr>
      <vt:lpstr>t-accounts month 2</vt:lpstr>
      <vt:lpstr>ALL</vt:lpstr>
      <vt:lpstr>Balance of Account</vt:lpstr>
      <vt:lpstr>'t-accounts month 2'!B_Cash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Mayte Sánchez</dc:creator>
  <cp:keywords/>
  <dc:description/>
  <cp:lastModifiedBy>Biel Cantera Potente</cp:lastModifiedBy>
  <cp:revision/>
  <dcterms:created xsi:type="dcterms:W3CDTF">2022-02-14T16:22:22Z</dcterms:created>
  <dcterms:modified xsi:type="dcterms:W3CDTF">2023-05-24T09:59:13Z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3fce31-2f8d-4ac6-bf55-de69720a14e7_Enabled">
    <vt:lpwstr>true</vt:lpwstr>
  </property>
  <property fmtid="{D5CDD505-2E9C-101B-9397-08002B2CF9AE}" pid="3" name="MSIP_Label_803fce31-2f8d-4ac6-bf55-de69720a14e7_SetDate">
    <vt:lpwstr>2023-03-16T08:46:44Z</vt:lpwstr>
  </property>
  <property fmtid="{D5CDD505-2E9C-101B-9397-08002B2CF9AE}" pid="4" name="MSIP_Label_803fce31-2f8d-4ac6-bf55-de69720a14e7_Method">
    <vt:lpwstr>Standard</vt:lpwstr>
  </property>
  <property fmtid="{D5CDD505-2E9C-101B-9397-08002B2CF9AE}" pid="5" name="MSIP_Label_803fce31-2f8d-4ac6-bf55-de69720a14e7_Name">
    <vt:lpwstr>defa4170-0d19-0005-0004-bc88714345d2</vt:lpwstr>
  </property>
  <property fmtid="{D5CDD505-2E9C-101B-9397-08002B2CF9AE}" pid="6" name="MSIP_Label_803fce31-2f8d-4ac6-bf55-de69720a14e7_SiteId">
    <vt:lpwstr>6e24b6e5-3049-4468-ae77-a308ba97331f</vt:lpwstr>
  </property>
  <property fmtid="{D5CDD505-2E9C-101B-9397-08002B2CF9AE}" pid="7" name="MSIP_Label_803fce31-2f8d-4ac6-bf55-de69720a14e7_ActionId">
    <vt:lpwstr>2bd834a1-65e6-4d08-a270-532763afd74b</vt:lpwstr>
  </property>
  <property fmtid="{D5CDD505-2E9C-101B-9397-08002B2CF9AE}" pid="8" name="MSIP_Label_803fce31-2f8d-4ac6-bf55-de69720a14e7_ContentBits">
    <vt:lpwstr>0</vt:lpwstr>
  </property>
</Properties>
</file>